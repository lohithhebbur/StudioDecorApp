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dmyn-my.sharepoint.com/personal/lohith_hebbur_decormyneststudio_com/Documents/"/>
    </mc:Choice>
  </mc:AlternateContent>
  <xr:revisionPtr revIDLastSave="0" documentId="8_{C780A3B5-A97A-46E1-A1D0-B3A6AB411D5E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Rate Master" sheetId="1" r:id="rId1"/>
    <sheet name="Quotation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7" i="2" l="1" a="1"/>
  <c r="F27" i="2" s="1"/>
  <c r="G27" i="2" s="1"/>
  <c r="A27" i="2"/>
  <c r="F26" i="2"/>
  <c r="G26" i="2" s="1"/>
  <c r="F26" i="2" a="1"/>
  <c r="A26" i="2"/>
  <c r="F25" i="2" a="1"/>
  <c r="F25" i="2" s="1"/>
  <c r="G25" i="2" s="1"/>
  <c r="A25" i="2"/>
  <c r="G24" i="2"/>
  <c r="F24" i="2"/>
  <c r="F24" i="2" a="1"/>
  <c r="A24" i="2"/>
  <c r="F23" i="2" a="1"/>
  <c r="F23" i="2" s="1"/>
  <c r="G23" i="2" s="1"/>
  <c r="A23" i="2"/>
  <c r="F22" i="2"/>
  <c r="G22" i="2" s="1"/>
  <c r="F22" i="2" a="1"/>
  <c r="A22" i="2"/>
  <c r="F21" i="2" a="1"/>
  <c r="F21" i="2" s="1"/>
  <c r="G21" i="2" s="1"/>
  <c r="A21" i="2"/>
  <c r="G20" i="2"/>
  <c r="F20" i="2"/>
  <c r="F20" i="2" a="1"/>
  <c r="A20" i="2"/>
  <c r="F19" i="2" a="1"/>
  <c r="F19" i="2" s="1"/>
  <c r="G19" i="2" s="1"/>
  <c r="A19" i="2"/>
  <c r="G18" i="2"/>
  <c r="F18" i="2"/>
  <c r="F18" i="2" a="1"/>
  <c r="A18" i="2"/>
  <c r="F17" i="2" a="1"/>
  <c r="F17" i="2" s="1"/>
  <c r="G17" i="2" s="1"/>
  <c r="A17" i="2"/>
  <c r="G16" i="2"/>
  <c r="F16" i="2"/>
  <c r="F16" i="2" a="1"/>
  <c r="A16" i="2"/>
  <c r="F15" i="2" a="1"/>
  <c r="F15" i="2" s="1"/>
  <c r="G15" i="2" s="1"/>
  <c r="A15" i="2"/>
  <c r="G14" i="2"/>
  <c r="F14" i="2"/>
  <c r="F14" i="2" a="1"/>
  <c r="A14" i="2"/>
  <c r="F13" i="2" a="1"/>
  <c r="F13" i="2" s="1"/>
  <c r="G13" i="2" s="1"/>
  <c r="A13" i="2"/>
  <c r="G12" i="2"/>
  <c r="F12" i="2"/>
  <c r="F12" i="2" a="1"/>
  <c r="A12" i="2"/>
  <c r="F11" i="2" a="1"/>
  <c r="F11" i="2" s="1"/>
  <c r="G11" i="2" s="1"/>
  <c r="A11" i="2"/>
  <c r="G10" i="2"/>
  <c r="F10" i="2"/>
  <c r="F10" i="2" a="1"/>
  <c r="A10" i="2"/>
  <c r="F9" i="2" a="1"/>
  <c r="F9" i="2" s="1"/>
  <c r="G9" i="2" s="1"/>
  <c r="A9" i="2"/>
  <c r="F8" i="2" a="1"/>
  <c r="F8" i="2" s="1"/>
  <c r="G8" i="2" s="1"/>
  <c r="G28" i="2" s="1"/>
  <c r="A8" i="2"/>
  <c r="B5" i="2"/>
  <c r="G29" i="2" l="1"/>
  <c r="G30" i="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Lohith Hebbur</author>
  </authors>
  <commentList>
    <comment ref="E4" authorId="0" shapeId="0" xr:uid="{408C60F8-2DE2-4BD0-A0AA-B415DC64396B}">
      <text>
        <r>
          <rPr>
            <b/>
            <sz val="9"/>
            <color indexed="81"/>
            <rFont val="Tahoma"/>
            <charset val="1"/>
          </rPr>
          <t>Lohith Hebbur:</t>
        </r>
        <r>
          <rPr>
            <sz val="9"/>
            <color indexed="81"/>
            <rFont val="Tahoma"/>
            <charset val="1"/>
          </rPr>
          <t xml:space="preserve">
Indicative Indian market rates (material + labour, ₹ per sq ft) as a starting point — based on general market knowledge, not official Asian Paints pricing. Edit to your own pricing.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<sst xmlns="http://schemas.openxmlformats.org/spreadsheetml/2006/main" count="492" uniqueCount="181">
  <si>
    <t>Decor My Nest - Painting System Rate Master</t>
  </si>
  <si>
    <t>Enter and maintain your own products, painting types, systems, and rates. Save the live CSV sheet to update the app automatically.</t>
  </si>
  <si>
    <t>Product</t>
  </si>
  <si>
    <t>Painting Type</t>
  </si>
  <si>
    <t>Painting System</t>
  </si>
  <si>
    <t>Surface / Substrate</t>
  </si>
  <si>
    <t>Rate per Sq Ft</t>
  </si>
  <si>
    <t>Active</t>
  </si>
  <si>
    <t>Last Updated</t>
  </si>
  <si>
    <t>Yes</t>
  </si>
  <si>
    <t>Fresh / Full Painting</t>
  </si>
  <si>
    <t>Repainting</t>
  </si>
  <si>
    <t>Tractor Emulsion</t>
  </si>
  <si>
    <t>Walls</t>
  </si>
  <si>
    <t>Ceiling</t>
  </si>
  <si>
    <t>Apcolite Premium Emulsion</t>
  </si>
  <si>
    <t>Apcolite Premium Satin Enamel</t>
  </si>
  <si>
    <t>Royale Matt</t>
  </si>
  <si>
    <t>Royale Shyne</t>
  </si>
  <si>
    <t>Royale Aspira</t>
  </si>
  <si>
    <t>Royale Glitz</t>
  </si>
  <si>
    <t>Royale Health Shield</t>
  </si>
  <si>
    <t>Royale Designer Collection</t>
  </si>
  <si>
    <t>Royale Play Special Effects</t>
  </si>
  <si>
    <t>Nilaya Wallcoverings</t>
  </si>
  <si>
    <t>Ace Exterior Emulsion</t>
  </si>
  <si>
    <t>Apex Exterior Emulsion</t>
  </si>
  <si>
    <t>Apex Ultima</t>
  </si>
  <si>
    <t>Apex Ultima Protek</t>
  </si>
  <si>
    <t>SmartCare Damp Proof</t>
  </si>
  <si>
    <t>SmartCare Bathroom Waterproofing</t>
  </si>
  <si>
    <t>SmartCare Balcony Waterproofing</t>
  </si>
  <si>
    <t>WoodTech PU Clear Matt</t>
  </si>
  <si>
    <t>WoodTech PU Clear Satin</t>
  </si>
  <si>
    <t>WoodTech PU Clear Gloss</t>
  </si>
  <si>
    <t>WoodTech Melamyne</t>
  </si>
  <si>
    <t>WoodTech Touchwood</t>
  </si>
  <si>
    <t>Metal Protective System</t>
  </si>
  <si>
    <t>Covering &amp; Masking + Sanding + Putty Touch-up (Where Required) + Sanding + 1 Coat Asian Paints Wall Primer + 2 Coats Asian Paints Tractor Emulsion + Final Inspection</t>
  </si>
  <si>
    <t>Covering &amp; Masking + Sanding + 2 Coats Asian Wall Putty + Sanding + 1 Coat Asian Paints Wall Primer + 2 Coats Asian Paints Tractor Emulsion + Final Inspection</t>
  </si>
  <si>
    <t>Covering &amp; Masking + Sanding + Crack &amp; Putty Touch-up (Where Required) + Sanding + Spot Priming (Where Required) + 2 Coats Asian Paints Tractor Emulsion + Final Touch-up</t>
  </si>
  <si>
    <t>Walls / Ceiling</t>
  </si>
  <si>
    <t>Tractor Emulsion Advanced</t>
  </si>
  <si>
    <t>Covering &amp; Masking + Sanding + Putty Touch-up (Where Required) + Sanding + 1 Coat Asian Paints Wall Primer + 2 Coats Asian Paints Tractor Emulsion Advanced + Final Inspection</t>
  </si>
  <si>
    <t>Covering &amp; Masking + Sanding + 2 Coats Asian Wall Putty + Sanding + 1 Coat Asian Paints Wall Primer + 2 Coats Asian Paints Tractor Emulsion Advanced + Final Inspection</t>
  </si>
  <si>
    <t>Covering &amp; Masking + Sanding + Crack &amp; Putty Touch-up (Where Required) + Sanding + Spot Priming (Where Required) + 2 Coats Asian Paints Tractor Emulsion Advanced + Final Touch-up</t>
  </si>
  <si>
    <t>Tractor Emulsion Shyne</t>
  </si>
  <si>
    <t>Covering &amp; Masking + Sanding + Putty Touch-up (Where Required) + Sanding + 1 Coat Asian Paints Wall Primer + 2 Coats Asian Paints Tractor Emulsion Shyne + Final Inspection</t>
  </si>
  <si>
    <t>Covering &amp; Masking + Sanding + 2 Coats Asian Wall Putty + Sanding + 1 Coat Asian Paints Wall Primer + 2 Coats Asian Paints Tractor Emulsion Shyne + Final Inspection</t>
  </si>
  <si>
    <t>Covering &amp; Masking + Sanding + Crack &amp; Putty Touch-up (Where Required) + Sanding + Spot Priming (Where Required) + 2 Coats Asian Paints Tractor Emulsion Shyne + Final Touch-up</t>
  </si>
  <si>
    <t>Covering &amp; Masking + Sanding + Putty Touch-up (Where Required) + Sanding + 1 Coat Asian Paints Wall Primer + 2 Coats Asian Paints Apcolite Premium Emulsion + Final Inspection</t>
  </si>
  <si>
    <t>Covering &amp; Masking + Sanding + 2 Coats Asian Wall Putty + Sanding + 1 Coat Asian Paints Wall Primer + 2 Coats Asian Paints Apcolite Premium Emulsion + Final Inspection</t>
  </si>
  <si>
    <t>Covering &amp; Masking + Sanding + Crack &amp; Putty Touch-up (Where Required) + Sanding + Spot Priming (Where Required) + 2 Coats Asian Paints Apcolite Premium Emulsion + Final Touch-up</t>
  </si>
  <si>
    <t>Apcolite Advanced Shyne</t>
  </si>
  <si>
    <t>Covering &amp; Masking + Sanding + Putty Touch-up (Where Required) + Sanding + 1 Coat Asian Paints Wall Primer + 2 Coats Asian Paints Apcolite Advanced Shyne + Final Inspection</t>
  </si>
  <si>
    <t>Covering &amp; Masking + Sanding + 2 Coats Asian Wall Putty + Sanding + 1 Coat Asian Paints Wall Primer + 2 Coats Asian Paints Apcolite Advanced Shyne + Final Inspection</t>
  </si>
  <si>
    <t>Covering &amp; Masking + Sanding + Crack &amp; Putty Touch-up (Where Required) + Sanding + Spot Priming (Where Required) + 2 Coats Asian Paints Apcolite Advanced Shyne + Final Touch-up</t>
  </si>
  <si>
    <t>Apcolite All Protek</t>
  </si>
  <si>
    <t>Covering &amp; Masking + Sanding + Putty Touch-up (Where Required) + Sanding + 1 Coat Asian Paints Wall Primer + 2 Coats Asian Paints Apcolite All Protek + Final Inspection</t>
  </si>
  <si>
    <t>Covering &amp; Masking + Sanding + 2 Coats Asian Wall Putty + Sanding + 1 Coat Asian Paints Wall Primer + 2 Coats Asian Paints Apcolite All Protek + Final Inspection</t>
  </si>
  <si>
    <t>Covering &amp; Masking + Sanding + Crack &amp; Putty Touch-up (Where Required) + Sanding + Spot Priming (Where Required) + 2 Coats Asian Paints Apcolite All Protek + Final Touch-up</t>
  </si>
  <si>
    <t>Royale Luxury Emulsion</t>
  </si>
  <si>
    <t>Covering &amp; Masking + Surface Inspection + Crack Repair + Putty Touch-up (Where Required) + Sanding + Dust Cleaning + 1 Coat Asian Paints Royale Wall Base Coat + Sanding + 2 Coats Asian Paints Royale Luxury Emulsion + Final Inspection</t>
  </si>
  <si>
    <t>Covering &amp; Masking + Sanding + 2 Coats Asian Wall Putty + Sanding + 1 Coat Asian Paints Royale Wall Base Coat + 2 Coats Asian Paints Royale Luxury Emulsion + Final Inspection</t>
  </si>
  <si>
    <t>Covering &amp; Masking + Sanding + Crack &amp; Putty Touch-up (Where Required) + Sanding + Spot Priming (Where Required) + 2 Coats Asian Paints Royale Luxury Emulsion + Final Touch-up</t>
  </si>
  <si>
    <t>Covering &amp; Masking + Surface Inspection + Crack Repair + Putty Touch-up (Where Required) + Sanding + Dust Cleaning + 1 Coat Asian Paints Royale Wall Base Coat + Sanding + 2 Coats Asian Paints Royale Matt + Final Inspection</t>
  </si>
  <si>
    <t>Covering &amp; Masking + Sanding + 2 Coats Asian Wall Putty + Sanding + 1 Coat Asian Paints Royale Wall Base Coat + 2 Coats Asian Paints Royale Matt + Final Inspection</t>
  </si>
  <si>
    <t>Covering &amp; Masking + Sanding + Crack &amp; Putty Touch-up (Where Required) + Sanding + Spot Priming (Where Required) + 2 Coats Asian Paints Royale Matt + Final Touch-up</t>
  </si>
  <si>
    <t>Covering &amp; Masking + Surface Inspection + Crack Repair + Putty Touch-up (Where Required) + Sanding + Dust Cleaning + 1 Coat Asian Paints Royale Wall Base Coat + Sanding + 2 Coats Asian Paints Royale Shyne + Final Inspection</t>
  </si>
  <si>
    <t>Covering &amp; Masking + Sanding + 2 Coats Asian Wall Putty + Sanding + 1 Coat Asian Paints Royale Wall Base Coat + 2 Coats Asian Paints Royale Shyne + Final Inspection</t>
  </si>
  <si>
    <t>Covering &amp; Masking + Sanding + Crack &amp; Putty Touch-up (Where Required) + Sanding + Spot Priming (Where Required) + 2 Coats Asian Paints Royale Shyne + Final Touch-up</t>
  </si>
  <si>
    <t>Covering &amp; Masking + Surface Inspection + Crack Repair + Putty Touch-up (Where Required) + Sanding + Dust Cleaning + 1 Coat Asian Paints Royale Wall Base Coat + Sanding + 2 Coats Asian Paints Royale Health Shield + Final Inspection</t>
  </si>
  <si>
    <t>Covering &amp; Masking + Sanding + 2 Coats Asian Wall Putty + Sanding + 1 Coat Asian Paints Royale Wall Base Coat + 2 Coats Asian Paints Royale Health Shield + Final Inspection</t>
  </si>
  <si>
    <t>Covering &amp; Masking + Sanding + Crack &amp; Putty Touch-up (Where Required) + Sanding + Spot Priming (Where Required) + 2 Coats Asian Paints Royale Health Shield + Final Touch-up</t>
  </si>
  <si>
    <t>Royale Atmos</t>
  </si>
  <si>
    <t>Covering &amp; Masking + Surface Inspection + Crack Repair + Putty Touch-up (Where Required) + Sanding + Dust Cleaning + 1 Coat Asian Paints Royale Wall Base Coat + Sanding + 2 Coats Asian Paints Royale Atmos + Final Inspection</t>
  </si>
  <si>
    <t>Covering &amp; Masking + Sanding + 2 Coats Asian Wall Putty + Sanding + 1 Coat Asian Paints Royale Wall Base Coat + 2 Coats Asian Paints Royale Atmos + Final Inspection</t>
  </si>
  <si>
    <t>Covering &amp; Masking + Sanding + Crack &amp; Putty Touch-up (Where Required) + Sanding + Spot Priming (Where Required) + 2 Coats Asian Paints Royale Atmos + Final Touch-up</t>
  </si>
  <si>
    <t>Covering &amp; Masking + Surface Inspection + Crack Repair + Putty Touch-up (Where Required) + Sanding + Dust Cleaning + 1 Coat Asian Paints Royale Wall Base Coat + Sanding + 2 Coats Asian Paints Royale Glitz + Final Inspection</t>
  </si>
  <si>
    <t>Covering &amp; Masking + Sanding + 2 Coats Asian Wall Putty + Sanding + 1 Coat Asian Paints Royale Wall Base Coat + 2 Coats Asian Paints Royale Glitz + Final Inspection</t>
  </si>
  <si>
    <t>Covering &amp; Masking + Sanding + Crack &amp; Putty Touch-up (Where Required) + Sanding + Spot Priming (Where Required) + 2 Coats Asian Paints Royale Glitz + Final Touch-up</t>
  </si>
  <si>
    <t>Covering &amp; Masking + Surface Inspection + Crack Repair + Putty Touch-up (Where Required) + Sanding + Dust Cleaning + 1 Coat Asian Paints Royale Wall Base Coat + Sanding + 2 Coats Asian Paints Royale Aspira + Final Inspection</t>
  </si>
  <si>
    <t>Covering &amp; Masking + Sanding + 2 Coats Asian Wall Putty + Sanding + 1 Coat Asian Paints Royale Wall Base Coat + 2 Coats Asian Paints Royale Aspira + Final Inspection</t>
  </si>
  <si>
    <t>Covering &amp; Masking + Sanding + Crack &amp; Putty Touch-up (Where Required) + Sanding + Spot Priming (Where Required) + 2 Coats Asian Paints Royale Aspira + Final Touch-up</t>
  </si>
  <si>
    <t>Tractor Acrylic Distemper</t>
  </si>
  <si>
    <t>Covering &amp; Masking + Sanding + Putty Touch-up (Where Required) + Sanding + 1 Coat Asian Paints Wall Primer + 2 Coats Asian Paints Tractor Acrylic Distemper + Final Inspection</t>
  </si>
  <si>
    <t>Covering &amp; Masking + Sanding + Crack &amp; Putty Touch-up (Where Required) + Sanding + Spot Priming (Where Required) + 2 Coats Asian Paints Tractor Acrylic Distemper + Final Touch-up</t>
  </si>
  <si>
    <t>Utsav Acrylic Distemper</t>
  </si>
  <si>
    <t>Covering &amp; Masking + Sanding + Putty Touch-up (Where Required) + Sanding + 1 Coat Asian Paints Wall Primer + 2 Coats Asian Paints Utsav Acrylic Distemper + Final Inspection</t>
  </si>
  <si>
    <t>Covering &amp; Masking + Sanding + Crack &amp; Putty Touch-up (Where Required) + Sanding + Spot Priming (Where Required) + 2 Coats Asian Paints Utsav Acrylic Distemper + Final Touch-up</t>
  </si>
  <si>
    <t>Scaffolding (Where Required) + High Pressure Water Cleaning + Crack Repair + Exterior Wall Putty (Where Required) + Sanding + Dust Cleaning + 1 Coat Asian Paints Exterior Primer + 2 Coats Asian Paints Ace Exterior Emulsion + Final Inspection</t>
  </si>
  <si>
    <t>Exterior Walls</t>
  </si>
  <si>
    <t>Scaffolding (Where Required) + High Pressure Water Cleaning + Removal of Loose Paint &amp; Algae + Crack Filling + Sanding + Spot Priming (Where Required) + 2 Coats Asian Paints Ace Exterior Emulsion + Final Touch-up</t>
  </si>
  <si>
    <t>Ace Advanced Emulsion</t>
  </si>
  <si>
    <t>Scaffolding (Where Required) + High Pressure Water Cleaning + Crack Repair + Exterior Wall Putty (Where Required) + Sanding + Dust Cleaning + 1 Coat Asian Paints Exterior Primer + 2 Coats Asian Paints Ace Advanced Emulsion + Final Inspection</t>
  </si>
  <si>
    <t>Scaffolding (Where Required) + High Pressure Water Cleaning + Removal of Loose Paint &amp; Algae + Crack Filling + Sanding + Spot Priming (Where Required) + 2 Coats Asian Paints Ace Advanced Emulsion + Final Touch-up</t>
  </si>
  <si>
    <t>Scaffolding (Where Required) + High Pressure Water Cleaning + Crack Repair + Exterior Wall Putty (Where Required) + Sanding + Dust Cleaning + 1 Coat Asian Paints Exterior Primer + 2 Coats Asian Paints Apex Exterior Emulsion + Final Inspection</t>
  </si>
  <si>
    <t>Scaffolding (Where Required) + High Pressure Water Cleaning + Removal of Loose Paint &amp; Algae + Crack Filling + Sanding + Spot Priming (Where Required) + 2 Coats Asian Paints Apex Exterior Emulsion + Final Touch-up</t>
  </si>
  <si>
    <t>Apex Advanced Dust Proof Emulsion</t>
  </si>
  <si>
    <t>Scaffolding (Where Required) + High Pressure Water Cleaning + Crack Repair + Exterior Wall Putty (Where Required) + Sanding + Dust Cleaning + 1 Coat Asian Paints Exterior Primer + 2 Coats Asian Paints Apex Advanced Dust Proof Emulsion + Final Inspection</t>
  </si>
  <si>
    <t>Scaffolding (Where Required) + High Pressure Water Cleaning + Removal of Loose Paint &amp; Algae + Crack Filling + Sanding + Spot Priming (Where Required) + 2 Coats Asian Paints Apex Advanced Dust Proof Emulsion + Final Touch-up</t>
  </si>
  <si>
    <t>Scaffolding (Where Required) + High Pressure Water Cleaning + Crack Repair + Exterior Wall Putty (Where Required) + Sanding + Dust Cleaning + 1 Coat Asian Paints Exterior Primer + 2 Coats Asian Paints Apex Ultima + Final Inspection</t>
  </si>
  <si>
    <t>Scaffolding (Where Required) + High Pressure Water Cleaning + Removal of Loose Paint &amp; Algae + Crack Filling + Sanding + Spot Priming (Where Required) + 2 Coats Asian Paints Apex Ultima + Final Touch-up</t>
  </si>
  <si>
    <t>Scaffolding (Where Required) + High Pressure Water Cleaning + Crack Repair + Exterior Wall Putty (Where Required) + Sanding + Dust Cleaning + 1 Coat Asian Paints Exterior Primer + 2 Coats Asian Paints Apex Ultima Protek + Final Inspection</t>
  </si>
  <si>
    <t>Scaffolding (Where Required) + High Pressure Water Cleaning + Removal of Loose Paint &amp; Algae + Crack Filling + Sanding + Spot Priming (Where Required) + 2 Coats Asian Paints Apex Ultima Protek + Final Touch-up</t>
  </si>
  <si>
    <t>Apex Ultima Protek Duralife</t>
  </si>
  <si>
    <t>Scaffolding (Where Required) + High Pressure Water Cleaning + Crack Repair + Exterior Wall Putty (Where Required) + Sanding + Dust Cleaning + 1 Coat Asian Paints Exterior Primer + 2 Coats Asian Paints Apex Ultima Protek Duralife + Final Inspection</t>
  </si>
  <si>
    <t>Scaffolding (Where Required) + High Pressure Water Cleaning + Removal of Loose Paint &amp; Algae + Crack Filling + Sanding + Spot Priming (Where Required) + 2 Coats Asian Paints Apex Ultima Protek Duralife + Final Touch-up</t>
  </si>
  <si>
    <t>Apex Createx Texture</t>
  </si>
  <si>
    <t>Texture / Designer Finish</t>
  </si>
  <si>
    <t>Scaffolding (Where Required) + Surface Preparation + Crack Repair + Exterior Primer + Base Coat + Application of Asian Paints Apex Createx Texture Finish as per Approved Sample + Protective Top Coat (Where Applicable) + Final Inspection</t>
  </si>
  <si>
    <t>Apex Ultima Allura</t>
  </si>
  <si>
    <t>Scaffolding (Where Required) + Surface Preparation + Crack Repair + Exterior Primer + Base Coat + Application of Asian Paints Apex Ultima Allura Stone/Texture Finish as per Approved Sample + Protective Top Coat + Final Inspection</t>
  </si>
  <si>
    <t>Tractor Enamel</t>
  </si>
  <si>
    <t>Surface Cleaning + Sanding + Rust Removal / Knotting (As Applicable) + 1 Coat Wood Primer / Metal Primer + Putty &amp; Levelling + Sanding + 2 Coats Asian Paints Tractor Enamel + Final Inspection</t>
  </si>
  <si>
    <t>Wood &amp; Metal Surfaces</t>
  </si>
  <si>
    <t>Surface Cleaning + Sanding + Spot Priming (Where Required) + 2 Coats Asian Paints Tractor Enamel + Final Touch-up</t>
  </si>
  <si>
    <t>Premium Gloss Enamel</t>
  </si>
  <si>
    <t>Surface Cleaning + Sanding + Rust Removal / Knotting (As Applicable) + 1 Coat Wood Primer / Metal Primer + Putty &amp; Levelling + Sanding + 2 Coats Asian Paints Premium Gloss Enamel + Final Inspection</t>
  </si>
  <si>
    <t>Surface Cleaning + Sanding + Spot Priming (Where Required) + 2 Coats Asian Paints Premium Gloss Enamel + Final Touch-up</t>
  </si>
  <si>
    <t>Surface Cleaning + Sanding + Rust Removal / Knotting (As Applicable) + 1 Coat Wood Primer / Metal Primer + Putty &amp; Levelling + Sanding + 2 Coats Asian Paints Apcolite Premium Satin Enamel + Final Inspection</t>
  </si>
  <si>
    <t>Surface Cleaning + Sanding + Spot Priming (Where Required) + 2 Coats Asian Paints Apcolite Premium Satin Enamel + Final Touch-up</t>
  </si>
  <si>
    <t>Fresh Polish / Coating</t>
  </si>
  <si>
    <t>Surface Preparation + Sanding + Application of WoodTech Touchwood Interior/Exterior Finish (Matt/Gloss as Specified) in Recommended Coats + Intermediate Sanding + Final Inspection</t>
  </si>
  <si>
    <t>Wood Surfaces</t>
  </si>
  <si>
    <t>Re-polish / Recoat</t>
  </si>
  <si>
    <t>Surface Cleaning + Sanding of Existing Finish + Stain Touch-up (Where Required) + 2 Coats WoodTech Touchwood Finish + Final Buffing</t>
  </si>
  <si>
    <t>Surface Preparation + Sanding + Wood Stain (Where Required) + Melamyne Sanding Sealer + Sanding + 2 Coats Melamyne Base Coat + Intermediate Sanding + 2 Coats WoodTech Melamyne Finish + Final Buffing</t>
  </si>
  <si>
    <t>Surface Cleaning + Sanding of Existing Finish + Stain Touch-up (Where Required) + 2 Coats WoodTech Melamyne Finish + Final Buffing</t>
  </si>
  <si>
    <t>Surface Preparation + Nail Hole Filling + Sanding + Wood Stain (Where Required) + WoodTech PU Sanding Sealer + Sanding + 2 Coats WoodTech PU Base Coat + Intermediate Sanding + 2 Coats WoodTech PU Clear Matt Finish + Final Inspection</t>
  </si>
  <si>
    <t>Surface Cleaning + Sanding of Existing Finish + Stain Touch-up (Where Required) + 2 Coats WoodTech PU Clear Matt Finish + Final Buffing</t>
  </si>
  <si>
    <t>Surface Preparation + Nail Hole Filling + Sanding + Wood Stain (Where Required) + WoodTech PU Sanding Sealer + Sanding + 2 Coats WoodTech PU Base Coat + Intermediate Sanding + 2 Coats WoodTech PU Clear Satin Finish + Final Inspection</t>
  </si>
  <si>
    <t>Surface Cleaning + Sanding of Existing Finish + Stain Touch-up (Where Required) + 2 Coats WoodTech PU Clear Satin Finish + Final Buffing</t>
  </si>
  <si>
    <t>Surface Preparation + Nail Hole Filling + Sanding + Wood Stain (Where Required) + WoodTech PU Sanding Sealer + Sanding + 2 Coats WoodTech PU Base Coat + Intermediate Sanding + 2 Coats WoodTech PU High Gloss Finish + Final Inspection</t>
  </si>
  <si>
    <t>Surface Cleaning + Sanding of Existing Finish + Stain Touch-up (Where Required) + 2 Coats WoodTech PU High Gloss Finish + Final Buffing</t>
  </si>
  <si>
    <t>WoodTech Aquadur PU (Water-Based)</t>
  </si>
  <si>
    <t>Surface Preparation + Sanding + Wood Stain (Where Required) + Aquadur PU Sealer + Sanding + 2 Coats WoodTech Aquadur PU Finish + Final Inspection</t>
  </si>
  <si>
    <t>Surface Cleaning + Sanding of Existing Finish + Stain Touch-up (Where Required) + 2 Coats WoodTech Aquadur PU Finish + Final Buffing</t>
  </si>
  <si>
    <t>WoodTech Emporio PU</t>
  </si>
  <si>
    <t>Premium Surface Preparation + Sanding + Wood Stain + Emporio PU Sealer + Sanding + PU Base Coats + Intermediate Sanding + 2 Coats WoodTech Emporio PU Finish (Matt/Gloss) + Final Buffing &amp; Inspection</t>
  </si>
  <si>
    <t>Surface Cleaning + Sanding of Existing Finish + Stain Touch-up (Where Required) + 2 Coats WoodTech Emporio PU Finish + Final Buffing</t>
  </si>
  <si>
    <t>Surface Cleaning + Rust Removal + Wire Brushing + Sanding + 1 Coat Metal Primer + Surface Levelling + Sanding + 2 Coats Premium Metal Finish + Final Inspection</t>
  </si>
  <si>
    <t>Metal Surfaces</t>
  </si>
  <si>
    <t>Surface Cleaning + Rust Spot Treatment + Sanding + Spot Priming + 2 Coats Premium Metal Finish + Final Touch-up</t>
  </si>
  <si>
    <t>Waterproofing Treatment</t>
  </si>
  <si>
    <t>Surface Cleaning + Removal of Loose Plaster &amp; Paint + Crack Opening + Polymer Mortar Repairs + SmartCare Crack Seal + SmartCare Damp Proof Primer + 2 Coats SmartCare Damp Proof Elastomeric Coating + Final Inspection</t>
  </si>
  <si>
    <t>Interior / Exterior Walls</t>
  </si>
  <si>
    <t>SmartCare Terrace Waterproofing (Damp Proof Ultra)</t>
  </si>
  <si>
    <t>Surface Cleaning + Removal of Existing Coating + Crack Opening &amp; Repair + Polymer Mortar Repairs + Surface Levelling + SmartCare Waterproofing Primer + Reinforcement Fabric at Critical Joints + 2-3 Coats SmartCare Terrace Waterproofing Membrane + Protective Top Coat (Where Required) + Water Ponding Test + Final Cleaning &amp; Handover</t>
  </si>
  <si>
    <t>Terrace / Roof</t>
  </si>
  <si>
    <t>Surface Cleaning + Groove Cutting at Wall/Floor Junctions + Crack Repair + Polymer Modified Mortar + SmartCare Waterproof Coating (2 Coats) + Reinforcement Mesh at Pipe Penetrations &amp; Corners + Water Ponding Test + Final Inspection</t>
  </si>
  <si>
    <t>Bathrooms</t>
  </si>
  <si>
    <t>Surface Cleaning + Crack Repair + Primer Application + SmartCare Waterproof Membrane + Reinforcement Mesh at Corners (Where Required) + Protective Screed (Where Applicable) + Water Ponding Test + Final Inspection</t>
  </si>
  <si>
    <t>Balconies</t>
  </si>
  <si>
    <t>SmartCare Crack Seal &amp; Joint Treatment</t>
  </si>
  <si>
    <t>Surface Preparation + Joint/Crack Cleaning + Crack Opening + SmartCare Crack Seal / Joint Tape Installation + Waterproof Sealant Application + Waterproof Membrane Coating + Final Inspection</t>
  </si>
  <si>
    <t>Cracks &amp; Joints</t>
  </si>
  <si>
    <t>SmartCare Hydroloc 2K</t>
  </si>
  <si>
    <t>Surface Cleaning + Crack Repair + Polymer Mortar Repairs + 2 Coats SmartCare Hydroloc 2K Waterproof Coating + Curing + Water Ponding Test + Final Inspection</t>
  </si>
  <si>
    <t>Water Tanks / Wet Areas</t>
  </si>
  <si>
    <t>Surface Protection + Surface Preparation + Wall Base Coat + Application of Royale Play Texture/Effect using Recommended Tools as per Approved Design + Protective Finish (Where Applicable) + Final Inspection</t>
  </si>
  <si>
    <t>Feature Walls</t>
  </si>
  <si>
    <t>Royale Play Metallics</t>
  </si>
  <si>
    <t>Surface Protection + Surface Preparation + Wall Base Coat + Application of Royale Play Metallic Finish as per Approved Design + Protective Finish (Where Applicable) + Final Inspection</t>
  </si>
  <si>
    <t>Royale Play Dune / Stucco</t>
  </si>
  <si>
    <t>Surface Protection + Surface Preparation + Wall Base Coat + Application of Royale Play Dune/Stucco Texture as per Approved Design + Protective Finish + Final Inspection</t>
  </si>
  <si>
    <t>Covering &amp; Masking + Premium Surface Preparation + Crack Repair + Wall Base Coat + Application of Selected Royale Designer Finish as per Approved Sample + Protective Finish Coat (Where Applicable) + Final Inspection</t>
  </si>
  <si>
    <t>Installation</t>
  </si>
  <si>
    <t>Surface Inspection + Wall Levelling + Crack Repair + Sanding + Primer (Where Required) + Premium Adhesive Application + Installation of Asian Paints Nilaya Wallcovering with Proper Pattern Matching &amp; Seam Alignment + Bubble Removal + Edge Trimming + Final Cleaning &amp; Handover</t>
  </si>
  <si>
    <t>Decor My Nest - Quotation</t>
  </si>
  <si>
    <t>Pick Product, Painting Type and Surface from the dropdowns; rates pull automatically from the Rate Master.</t>
  </si>
  <si>
    <t>Client Name:</t>
  </si>
  <si>
    <t>Site Address:</t>
  </si>
  <si>
    <t>Date:</t>
  </si>
  <si>
    <t>S.No</t>
  </si>
  <si>
    <t>Area (Sq Ft)</t>
  </si>
  <si>
    <t>Rate per Sq Ft (₹)</t>
  </si>
  <si>
    <t>Amount (₹)</t>
  </si>
  <si>
    <t>Subtotal (₹)</t>
  </si>
  <si>
    <t>GST</t>
  </si>
  <si>
    <t>Grand Total (₹)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</si>
</sst>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\₹#,##0.00"/>
    <numFmt numFmtId="165" formatCode="yyyy\-mm\-dd"/>
    <numFmt numFmtId="166" formatCode="\₹\ #,##0"/>
    <numFmt numFmtId="167" formatCode="dd/mmm/yyyy"/>
    <numFmt numFmtId="168" formatCode="0.0%"/>
  </numFmts>
  <fonts count="12">
    <font>
      <sz val="11"/>
      <name val="Carlito"/>
    </font>
    <font>
      <b/>
      <sz val="17"/>
      <color rgb="FFFFFFFF"/>
      <name val="Carlito"/>
    </font>
    <font>
      <i/>
      <sz val="10"/>
      <color rgb="FF365341"/>
      <name val="Carlito"/>
    </font>
    <font>
      <b/>
      <sz val="11"/>
      <color rgb="FF1B3325"/>
      <name val="Carlito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4"/>
      <name val="Carlito"/>
    </font>
    <font>
      <i/>
      <sz val="9"/>
      <color rgb="FF666666"/>
      <name val="Carlito"/>
    </font>
    <font>
      <b/>
      <sz val="11"/>
      <name val="Carlito"/>
    </font>
    <font>
      <sz val="11"/>
      <color rgb="FF0000FF"/>
      <name val="Carlito"/>
    </font>
    <font>
      <b/>
      <sz val="11"/>
      <color rgb="FFFFFFFF"/>
      <name val="Carlito"/>
    </font>
    <font>
      <sz val="11"/>
      <color rgb="FF008000"/>
      <name val="Carlito"/>
    </font>
  </fonts>
  <fills count="7">
    <fill>
      <patternFill patternType="none"/>
    </fill>
    <fill>
      <patternFill patternType="gray125"/>
    </fill>
    <fill>
      <patternFill patternType="solid">
        <fgColor rgb="FF1D4A35"/>
      </patternFill>
    </fill>
    <fill>
      <patternFill patternType="solid">
        <fgColor rgb="FFEAF1EB"/>
      </patternFill>
    </fill>
    <fill>
      <patternFill patternType="solid">
        <fgColor rgb="FFC8EC78"/>
      </patternFill>
    </fill>
    <fill>
      <patternFill patternType="solid">
        <fgColor rgb="FF1F4E4A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rgb="FF91A685"/>
      </left>
      <right/>
      <top style="thin">
        <color rgb="FF91A685"/>
      </top>
      <bottom style="thin">
        <color rgb="FF91A685"/>
      </bottom>
      <diagonal/>
    </border>
    <border>
      <left/>
      <right/>
      <top style="thin">
        <color rgb="FF91A685"/>
      </top>
      <bottom style="thin">
        <color rgb="FF91A685"/>
      </bottom>
      <diagonal/>
    </border>
    <border>
      <left/>
      <right style="thin">
        <color rgb="FF91A685"/>
      </right>
      <top style="thin">
        <color rgb="FF91A685"/>
      </top>
      <bottom style="thin">
        <color rgb="FF91A685"/>
      </bottom>
      <diagonal/>
    </border>
    <border>
      <left/>
      <right/>
      <top/>
      <bottom style="thin">
        <color rgb="FFE3E7E2"/>
      </bottom>
      <diagonal/>
    </border>
    <border>
      <left/>
      <right/>
      <top style="thin">
        <color rgb="FFE3E7E2"/>
      </top>
      <bottom style="thin">
        <color rgb="FFE3E7E2"/>
      </bottom>
      <diagonal/>
    </border>
    <border>
      <left/>
      <right/>
      <top style="thin">
        <color rgb="FFE3E7E2"/>
      </top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3" fillId="4" borderId="1" xfId="0" applyFont="1" applyFill="1" applyBorder="1" applyAlignment="1">
      <alignment vertical="center" wrapText="1"/>
    </xf>
    <xf numFmtId="0" fontId="3" fillId="4" borderId="2" xfId="0" applyFont="1" applyFill="1" applyBorder="1" applyAlignment="1">
      <alignment vertical="center" wrapText="1"/>
    </xf>
    <xf numFmtId="0" fontId="3" fillId="4" borderId="3" xfId="0" applyFont="1" applyFill="1" applyBorder="1" applyAlignment="1">
      <alignment vertical="center" wrapText="1"/>
    </xf>
    <xf numFmtId="0" fontId="0" fillId="0" borderId="4" xfId="0" applyBorder="1" applyAlignment="1">
      <alignment vertical="center"/>
    </xf>
    <xf numFmtId="0" fontId="0" fillId="0" borderId="5" xfId="0" applyBorder="1" applyAlignment="1">
      <alignment vertical="center"/>
    </xf>
    <xf numFmtId="0" fontId="0" fillId="0" borderId="6" xfId="0" applyBorder="1" applyAlignment="1">
      <alignment vertical="center"/>
    </xf>
    <xf numFmtId="164" fontId="0" fillId="0" borderId="5" xfId="0" applyNumberFormat="1" applyBorder="1" applyAlignment="1">
      <alignment vertical="center"/>
    </xf>
    <xf numFmtId="164" fontId="0" fillId="0" borderId="6" xfId="0" applyNumberFormat="1" applyBorder="1" applyAlignment="1">
      <alignment vertical="center"/>
    </xf>
    <xf numFmtId="165" fontId="0" fillId="0" borderId="5" xfId="0" applyNumberFormat="1" applyBorder="1" applyAlignment="1">
      <alignment vertical="center"/>
    </xf>
    <xf numFmtId="165" fontId="0" fillId="0" borderId="6" xfId="0" applyNumberFormat="1" applyBorder="1" applyAlignment="1">
      <alignment vertical="center"/>
    </xf>
    <xf numFmtId="0" fontId="0" fillId="0" borderId="0" xfId="0" applyAlignment="1">
      <alignment horizontal="left" wrapText="1"/>
    </xf>
    <xf numFmtId="166" fontId="0" fillId="0" borderId="4" xfId="0" applyNumberFormat="1" applyBorder="1" applyAlignment="1">
      <alignment vertical="center"/>
    </xf>
    <xf numFmtId="166" fontId="0" fillId="0" borderId="5" xfId="0" applyNumberFormat="1" applyBorder="1" applyAlignment="1">
      <alignment vertical="center"/>
    </xf>
    <xf numFmtId="167" fontId="0" fillId="0" borderId="4" xfId="0" applyNumberFormat="1" applyBorder="1" applyAlignment="1">
      <alignment vertical="center"/>
    </xf>
    <xf numFmtId="167" fontId="0" fillId="0" borderId="5" xfId="0" applyNumberFormat="1" applyBorder="1" applyAlignment="1">
      <alignment vertical="center"/>
    </xf>
    <xf numFmtId="0" fontId="6" fillId="0" borderId="0" xfId="0" applyFont="1"/>
    <xf numFmtId="0" fontId="7" fillId="0" borderId="0" xfId="0" applyFont="1"/>
    <xf numFmtId="0" fontId="8" fillId="0" borderId="0" xfId="0" applyFont="1"/>
    <xf numFmtId="167" fontId="9" fillId="0" borderId="0" xfId="0" applyNumberFormat="1" applyFont="1"/>
    <xf numFmtId="166" fontId="0" fillId="0" borderId="0" xfId="0" applyNumberFormat="1"/>
    <xf numFmtId="166" fontId="8" fillId="0" borderId="0" xfId="0" applyNumberFormat="1" applyFont="1"/>
    <xf numFmtId="168" fontId="9" fillId="0" borderId="0" xfId="0" applyNumberFormat="1" applyFont="1"/>
    <xf numFmtId="166" fontId="8" fillId="6" borderId="0" xfId="0" applyNumberFormat="1" applyFont="1" applyFill="1"/>
    <xf numFmtId="0" fontId="10" fillId="5" borderId="7" xfId="0" applyFont="1" applyFill="1" applyBorder="1"/>
    <xf numFmtId="0" fontId="0" fillId="0" borderId="7" xfId="0" applyBorder="1"/>
    <xf numFmtId="3" fontId="9" fillId="0" borderId="7" xfId="0" applyNumberFormat="1" applyFont="1" applyBorder="1"/>
    <xf numFmtId="166" fontId="11" fillId="0" borderId="7" xfId="0" applyNumberFormat="1" applyFont="1" applyBorder="1"/>
    <xf numFmtId="166" fontId="0" fillId="0" borderId="7" xfId="0" applyNumberFormat="1" applyBorder="1"/>
    <xf numFmtId="0" fontId="1" fillId="2" borderId="0" xfId="0" applyFont="1" applyFill="1" applyAlignment="1">
      <alignment vertical="center"/>
    </xf>
    <xf numFmtId="0" fontId="2" fillId="3" borderId="0" xfId="0" applyFont="1" applyFill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theme" Target="theme/theme1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PaintingSystemRateMaster" displayName="PaintingSystemRateMaster" ref="A4:G104">
  <autoFilter ref="A4:G104" xr:uid="{00000000-0009-0000-0100-000001000000}"/>
  <tableColumns count="7">
    <tableColumn id="1" xr3:uid="{00000000-0010-0000-0000-000001000000}" name="Product"/>
    <tableColumn id="2" xr3:uid="{00000000-0010-0000-0000-000002000000}" name="Painting Type"/>
    <tableColumn id="3" xr3:uid="{00000000-0010-0000-0000-000003000000}" name="Painting System"/>
    <tableColumn id="4" xr3:uid="{00000000-0010-0000-0000-000004000000}" name="Surface / Substrate"/>
    <tableColumn id="5" xr3:uid="{00000000-0010-0000-0000-000005000000}" name="Rate per Sq Ft"/>
    <tableColumn id="6" xr3:uid="{00000000-0010-0000-0000-000006000000}" name="Active"/>
    <tableColumn id="7" xr3:uid="{00000000-0010-0000-0000-000007000000}" name="Last Updated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525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68698BCC-E23F-4BA6-8434-2CF43BFE79DC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97fcb616-58fc-497c-8fd9-b4c07a5039ab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04"/>
  <sheetViews>
    <sheetView showGridLines="0" tabSelected="1" topLeftCell="B1" workbookViewId="0">
      <pane ySplit="4" topLeftCell="A9" activePane="bottomLeft" state="frozen"/>
      <selection pane="bottomLeft" activeCell="D9" sqref="D9"/>
    </sheetView>
  </sheetViews>
  <sheetFormatPr defaultRowHeight="14"/>
  <cols>
    <col min="1" max="1" width="24" customWidth="1"/>
    <col min="2" max="2" width="22" customWidth="1"/>
    <col min="3" max="3" width="34" customWidth="1"/>
    <col min="4" max="4" width="25" customWidth="1"/>
    <col min="5" max="5" width="16" customWidth="1"/>
    <col min="6" max="6" width="11" customWidth="1"/>
    <col min="7" max="7" width="16" customWidth="1"/>
  </cols>
  <sheetData>
    <row r="1" spans="1:7" ht="34" customHeight="1">
      <c r="A1" s="29" t="s">
        <v>0</v>
      </c>
      <c r="B1" s="29"/>
      <c r="C1" s="29"/>
      <c r="D1" s="29"/>
      <c r="E1" s="29"/>
      <c r="F1" s="29"/>
      <c r="G1" s="29"/>
    </row>
    <row r="2" spans="1:7" ht="32" customHeight="1">
      <c r="A2" s="30" t="s">
        <v>1</v>
      </c>
      <c r="B2" s="30"/>
      <c r="C2" s="30"/>
      <c r="D2" s="30"/>
      <c r="E2" s="30"/>
      <c r="F2" s="30"/>
      <c r="G2" s="30"/>
    </row>
    <row r="4" spans="1:7" ht="29" customHeight="1">
      <c r="A4" s="1" t="s">
        <v>2</v>
      </c>
      <c r="B4" s="2" t="s">
        <v>3</v>
      </c>
      <c r="C4" s="2" t="s">
        <v>4</v>
      </c>
      <c r="D4" s="2" t="s">
        <v>5</v>
      </c>
      <c r="E4" s="2" t="s">
        <v>6</v>
      </c>
      <c r="F4" s="2" t="s">
        <v>7</v>
      </c>
      <c r="G4" s="3" t="s">
        <v>8</v>
      </c>
    </row>
    <row r="5" spans="1:7" ht="70">
      <c r="A5" t="s">
        <v>12</v>
      </c>
      <c r="B5" t="s">
        <v>10</v>
      </c>
      <c r="C5" s="11" t="s">
        <v>38</v>
      </c>
      <c r="D5" s="4" t="s">
        <v>13</v>
      </c>
      <c r="E5" s="12">
        <v>28</v>
      </c>
      <c r="F5" s="4" t="s">
        <v>9</v>
      </c>
      <c r="G5" s="14">
        <v>46218</v>
      </c>
    </row>
    <row r="6" spans="1:7" ht="70">
      <c r="A6" t="s">
        <v>12</v>
      </c>
      <c r="B6" t="s">
        <v>10</v>
      </c>
      <c r="C6" s="11" t="s">
        <v>39</v>
      </c>
      <c r="D6" s="5" t="s">
        <v>14</v>
      </c>
      <c r="E6" s="13">
        <v>34</v>
      </c>
      <c r="F6" s="5" t="s">
        <v>9</v>
      </c>
      <c r="G6" s="15">
        <v>46218</v>
      </c>
    </row>
    <row r="7" spans="1:7" ht="70">
      <c r="A7" t="s">
        <v>12</v>
      </c>
      <c r="B7" t="s">
        <v>11</v>
      </c>
      <c r="C7" s="11" t="s">
        <v>40</v>
      </c>
      <c r="D7" s="5" t="s">
        <v>41</v>
      </c>
      <c r="E7" s="13">
        <v>22</v>
      </c>
      <c r="F7" s="5" t="s">
        <v>9</v>
      </c>
      <c r="G7" s="15">
        <v>46218</v>
      </c>
    </row>
    <row r="8" spans="1:7" ht="70">
      <c r="A8" t="s">
        <v>42</v>
      </c>
      <c r="B8" t="s">
        <v>10</v>
      </c>
      <c r="C8" s="11" t="s">
        <v>43</v>
      </c>
      <c r="D8" s="5" t="s">
        <v>13</v>
      </c>
      <c r="E8" s="13">
        <v>30</v>
      </c>
      <c r="F8" s="5" t="s">
        <v>9</v>
      </c>
      <c r="G8" s="15">
        <v>46218</v>
      </c>
    </row>
    <row r="9" spans="1:7" ht="70">
      <c r="A9" t="s">
        <v>42</v>
      </c>
      <c r="B9" s="5" t="s">
        <v>10</v>
      </c>
      <c r="C9" s="11" t="s">
        <v>44</v>
      </c>
      <c r="D9" s="5" t="s">
        <v>14</v>
      </c>
      <c r="E9" s="13">
        <v>36</v>
      </c>
      <c r="F9" s="5" t="s">
        <v>9</v>
      </c>
      <c r="G9" s="15">
        <v>46218</v>
      </c>
    </row>
    <row r="10" spans="1:7" ht="84">
      <c r="A10" t="s">
        <v>42</v>
      </c>
      <c r="B10" s="5" t="s">
        <v>11</v>
      </c>
      <c r="C10" s="11" t="s">
        <v>45</v>
      </c>
      <c r="D10" s="5" t="s">
        <v>41</v>
      </c>
      <c r="E10" s="13">
        <v>24</v>
      </c>
      <c r="F10" s="5" t="s">
        <v>9</v>
      </c>
      <c r="G10" s="15">
        <v>46218</v>
      </c>
    </row>
    <row r="11" spans="1:7" ht="70">
      <c r="A11" t="s">
        <v>46</v>
      </c>
      <c r="B11" s="5" t="s">
        <v>10</v>
      </c>
      <c r="C11" s="11" t="s">
        <v>47</v>
      </c>
      <c r="D11" s="5" t="s">
        <v>13</v>
      </c>
      <c r="E11" s="13">
        <v>32</v>
      </c>
      <c r="F11" s="5" t="s">
        <v>9</v>
      </c>
      <c r="G11" s="15">
        <v>46218</v>
      </c>
    </row>
    <row r="12" spans="1:7" ht="70">
      <c r="A12" t="s">
        <v>46</v>
      </c>
      <c r="B12" s="5" t="s">
        <v>10</v>
      </c>
      <c r="C12" s="11" t="s">
        <v>48</v>
      </c>
      <c r="D12" s="5" t="s">
        <v>14</v>
      </c>
      <c r="E12" s="13">
        <v>38</v>
      </c>
      <c r="F12" s="5" t="s">
        <v>9</v>
      </c>
      <c r="G12" s="15">
        <v>46218</v>
      </c>
    </row>
    <row r="13" spans="1:7" ht="84">
      <c r="A13" t="s">
        <v>46</v>
      </c>
      <c r="B13" s="5" t="s">
        <v>11</v>
      </c>
      <c r="C13" s="11" t="s">
        <v>49</v>
      </c>
      <c r="D13" s="5" t="s">
        <v>41</v>
      </c>
      <c r="E13" s="13">
        <v>25</v>
      </c>
      <c r="F13" s="5" t="s">
        <v>9</v>
      </c>
      <c r="G13" s="15">
        <v>46218</v>
      </c>
    </row>
    <row r="14" spans="1:7" ht="70">
      <c r="A14" t="s">
        <v>15</v>
      </c>
      <c r="B14" s="5" t="s">
        <v>10</v>
      </c>
      <c r="C14" s="11" t="s">
        <v>50</v>
      </c>
      <c r="D14" s="5" t="s">
        <v>13</v>
      </c>
      <c r="E14" s="13">
        <v>36</v>
      </c>
      <c r="F14" s="5" t="s">
        <v>9</v>
      </c>
      <c r="G14" s="15">
        <v>46218</v>
      </c>
    </row>
    <row r="15" spans="1:7" ht="70">
      <c r="A15" t="s">
        <v>15</v>
      </c>
      <c r="B15" s="5" t="s">
        <v>10</v>
      </c>
      <c r="C15" s="11" t="s">
        <v>51</v>
      </c>
      <c r="D15" s="5" t="s">
        <v>14</v>
      </c>
      <c r="E15" s="13">
        <v>42</v>
      </c>
      <c r="F15" s="5" t="s">
        <v>9</v>
      </c>
      <c r="G15" s="15">
        <v>46218</v>
      </c>
    </row>
    <row r="16" spans="1:7" ht="84">
      <c r="A16" t="s">
        <v>15</v>
      </c>
      <c r="B16" s="5" t="s">
        <v>11</v>
      </c>
      <c r="C16" s="11" t="s">
        <v>52</v>
      </c>
      <c r="D16" s="5" t="s">
        <v>41</v>
      </c>
      <c r="E16" s="13">
        <v>28</v>
      </c>
      <c r="F16" s="5" t="s">
        <v>9</v>
      </c>
      <c r="G16" s="15">
        <v>46218</v>
      </c>
    </row>
    <row r="17" spans="1:7" ht="70">
      <c r="A17" t="s">
        <v>53</v>
      </c>
      <c r="B17" s="5" t="s">
        <v>10</v>
      </c>
      <c r="C17" s="11" t="s">
        <v>54</v>
      </c>
      <c r="D17" s="5" t="s">
        <v>13</v>
      </c>
      <c r="E17" s="13">
        <v>38</v>
      </c>
      <c r="F17" s="5" t="s">
        <v>9</v>
      </c>
      <c r="G17" s="15">
        <v>46218</v>
      </c>
    </row>
    <row r="18" spans="1:7" ht="70">
      <c r="A18" t="s">
        <v>53</v>
      </c>
      <c r="B18" s="5" t="s">
        <v>10</v>
      </c>
      <c r="C18" s="11" t="s">
        <v>55</v>
      </c>
      <c r="D18" s="5" t="s">
        <v>14</v>
      </c>
      <c r="E18" s="13">
        <v>44</v>
      </c>
      <c r="F18" s="5" t="s">
        <v>9</v>
      </c>
      <c r="G18" s="15">
        <v>46218</v>
      </c>
    </row>
    <row r="19" spans="1:7" ht="84">
      <c r="A19" t="s">
        <v>53</v>
      </c>
      <c r="B19" s="5" t="s">
        <v>11</v>
      </c>
      <c r="C19" s="11" t="s">
        <v>56</v>
      </c>
      <c r="D19" s="5" t="s">
        <v>41</v>
      </c>
      <c r="E19" s="13">
        <v>30</v>
      </c>
      <c r="F19" s="5" t="s">
        <v>9</v>
      </c>
      <c r="G19" s="15">
        <v>46218</v>
      </c>
    </row>
    <row r="20" spans="1:7" ht="70">
      <c r="A20" t="s">
        <v>57</v>
      </c>
      <c r="B20" s="5" t="s">
        <v>10</v>
      </c>
      <c r="C20" s="11" t="s">
        <v>58</v>
      </c>
      <c r="D20" s="5" t="s">
        <v>13</v>
      </c>
      <c r="E20" s="13">
        <v>42</v>
      </c>
      <c r="F20" s="5" t="s">
        <v>9</v>
      </c>
      <c r="G20" s="15">
        <v>46218</v>
      </c>
    </row>
    <row r="21" spans="1:7" ht="70">
      <c r="A21" t="s">
        <v>57</v>
      </c>
      <c r="B21" s="5" t="s">
        <v>10</v>
      </c>
      <c r="C21" s="11" t="s">
        <v>59</v>
      </c>
      <c r="D21" s="5" t="s">
        <v>14</v>
      </c>
      <c r="E21" s="13">
        <v>48</v>
      </c>
      <c r="F21" s="5" t="s">
        <v>9</v>
      </c>
      <c r="G21" s="15">
        <v>46218</v>
      </c>
    </row>
    <row r="22" spans="1:7" ht="70">
      <c r="A22" t="s">
        <v>57</v>
      </c>
      <c r="B22" s="5" t="s">
        <v>11</v>
      </c>
      <c r="C22" s="11" t="s">
        <v>60</v>
      </c>
      <c r="D22" s="5" t="s">
        <v>41</v>
      </c>
      <c r="E22" s="13">
        <v>33</v>
      </c>
      <c r="F22" s="5" t="s">
        <v>9</v>
      </c>
      <c r="G22" s="15">
        <v>46218</v>
      </c>
    </row>
    <row r="23" spans="1:7" ht="98">
      <c r="A23" t="s">
        <v>61</v>
      </c>
      <c r="B23" s="5" t="s">
        <v>10</v>
      </c>
      <c r="C23" s="11" t="s">
        <v>62</v>
      </c>
      <c r="D23" s="5" t="s">
        <v>13</v>
      </c>
      <c r="E23" s="13">
        <v>45</v>
      </c>
      <c r="F23" s="5" t="s">
        <v>9</v>
      </c>
      <c r="G23" s="15">
        <v>46218</v>
      </c>
    </row>
    <row r="24" spans="1:7" ht="70">
      <c r="A24" t="s">
        <v>61</v>
      </c>
      <c r="B24" s="5" t="s">
        <v>10</v>
      </c>
      <c r="C24" s="11" t="s">
        <v>63</v>
      </c>
      <c r="D24" s="5" t="s">
        <v>14</v>
      </c>
      <c r="E24" s="13">
        <v>52</v>
      </c>
      <c r="F24" s="5" t="s">
        <v>9</v>
      </c>
      <c r="G24" s="15">
        <v>46218</v>
      </c>
    </row>
    <row r="25" spans="1:7" ht="84">
      <c r="A25" t="s">
        <v>61</v>
      </c>
      <c r="B25" s="5" t="s">
        <v>11</v>
      </c>
      <c r="C25" s="11" t="s">
        <v>64</v>
      </c>
      <c r="D25" s="5" t="s">
        <v>41</v>
      </c>
      <c r="E25" s="13">
        <v>36</v>
      </c>
      <c r="F25" s="5" t="s">
        <v>9</v>
      </c>
      <c r="G25" s="15">
        <v>46218</v>
      </c>
    </row>
    <row r="26" spans="1:7" ht="98">
      <c r="A26" t="s">
        <v>17</v>
      </c>
      <c r="B26" s="5" t="s">
        <v>10</v>
      </c>
      <c r="C26" s="11" t="s">
        <v>65</v>
      </c>
      <c r="D26" s="5" t="s">
        <v>13</v>
      </c>
      <c r="E26" s="13">
        <v>48</v>
      </c>
      <c r="F26" s="5" t="s">
        <v>9</v>
      </c>
      <c r="G26" s="15">
        <v>46218</v>
      </c>
    </row>
    <row r="27" spans="1:7" ht="70">
      <c r="A27" t="s">
        <v>17</v>
      </c>
      <c r="B27" s="5" t="s">
        <v>10</v>
      </c>
      <c r="C27" s="11" t="s">
        <v>66</v>
      </c>
      <c r="D27" s="5" t="s">
        <v>14</v>
      </c>
      <c r="E27" s="13">
        <v>55</v>
      </c>
      <c r="F27" s="5" t="s">
        <v>9</v>
      </c>
      <c r="G27" s="15">
        <v>46218</v>
      </c>
    </row>
    <row r="28" spans="1:7" ht="70">
      <c r="A28" t="s">
        <v>17</v>
      </c>
      <c r="B28" s="5" t="s">
        <v>11</v>
      </c>
      <c r="C28" s="11" t="s">
        <v>67</v>
      </c>
      <c r="D28" s="5" t="s">
        <v>41</v>
      </c>
      <c r="E28" s="13">
        <v>38</v>
      </c>
      <c r="F28" s="5" t="s">
        <v>9</v>
      </c>
      <c r="G28" s="15">
        <v>46218</v>
      </c>
    </row>
    <row r="29" spans="1:7" ht="98">
      <c r="A29" t="s">
        <v>18</v>
      </c>
      <c r="B29" s="5" t="s">
        <v>10</v>
      </c>
      <c r="C29" s="11" t="s">
        <v>68</v>
      </c>
      <c r="D29" s="5" t="s">
        <v>13</v>
      </c>
      <c r="E29" s="13">
        <v>50</v>
      </c>
      <c r="F29" s="5" t="s">
        <v>9</v>
      </c>
      <c r="G29" s="15">
        <v>46218</v>
      </c>
    </row>
    <row r="30" spans="1:7" ht="70">
      <c r="A30" t="s">
        <v>18</v>
      </c>
      <c r="B30" s="5" t="s">
        <v>10</v>
      </c>
      <c r="C30" s="11" t="s">
        <v>69</v>
      </c>
      <c r="D30" s="5" t="s">
        <v>14</v>
      </c>
      <c r="E30" s="13">
        <v>57</v>
      </c>
      <c r="F30" s="5" t="s">
        <v>9</v>
      </c>
      <c r="G30" s="15">
        <v>46218</v>
      </c>
    </row>
    <row r="31" spans="1:7" ht="70">
      <c r="A31" t="s">
        <v>18</v>
      </c>
      <c r="B31" s="5" t="s">
        <v>11</v>
      </c>
      <c r="C31" s="11" t="s">
        <v>70</v>
      </c>
      <c r="D31" s="5" t="s">
        <v>41</v>
      </c>
      <c r="E31" s="13">
        <v>40</v>
      </c>
      <c r="F31" s="5" t="s">
        <v>9</v>
      </c>
      <c r="G31" s="15">
        <v>46218</v>
      </c>
    </row>
    <row r="32" spans="1:7" ht="98">
      <c r="A32" t="s">
        <v>21</v>
      </c>
      <c r="B32" s="5" t="s">
        <v>10</v>
      </c>
      <c r="C32" s="11" t="s">
        <v>71</v>
      </c>
      <c r="D32" s="5" t="s">
        <v>13</v>
      </c>
      <c r="E32" s="13">
        <v>52</v>
      </c>
      <c r="F32" s="5" t="s">
        <v>9</v>
      </c>
      <c r="G32" s="15">
        <v>46218</v>
      </c>
    </row>
    <row r="33" spans="1:7" ht="70">
      <c r="A33" t="s">
        <v>21</v>
      </c>
      <c r="B33" s="5" t="s">
        <v>10</v>
      </c>
      <c r="C33" s="11" t="s">
        <v>72</v>
      </c>
      <c r="D33" s="5" t="s">
        <v>14</v>
      </c>
      <c r="E33" s="13">
        <v>59</v>
      </c>
      <c r="F33" s="5" t="s">
        <v>9</v>
      </c>
      <c r="G33" s="15">
        <v>46218</v>
      </c>
    </row>
    <row r="34" spans="1:7" ht="70">
      <c r="A34" t="s">
        <v>21</v>
      </c>
      <c r="B34" s="5" t="s">
        <v>11</v>
      </c>
      <c r="C34" s="11" t="s">
        <v>73</v>
      </c>
      <c r="D34" s="5" t="s">
        <v>41</v>
      </c>
      <c r="E34" s="13">
        <v>42</v>
      </c>
      <c r="F34" s="5" t="s">
        <v>9</v>
      </c>
      <c r="G34" s="15">
        <v>46218</v>
      </c>
    </row>
    <row r="35" spans="1:7" ht="98">
      <c r="A35" t="s">
        <v>74</v>
      </c>
      <c r="B35" s="5" t="s">
        <v>10</v>
      </c>
      <c r="C35" s="11" t="s">
        <v>75</v>
      </c>
      <c r="D35" s="5" t="s">
        <v>13</v>
      </c>
      <c r="E35" s="13">
        <v>55</v>
      </c>
      <c r="F35" s="5" t="s">
        <v>9</v>
      </c>
      <c r="G35" s="15">
        <v>46218</v>
      </c>
    </row>
    <row r="36" spans="1:7" ht="70">
      <c r="A36" t="s">
        <v>74</v>
      </c>
      <c r="B36" s="5" t="s">
        <v>10</v>
      </c>
      <c r="C36" s="11" t="s">
        <v>76</v>
      </c>
      <c r="D36" s="5" t="s">
        <v>14</v>
      </c>
      <c r="E36" s="13">
        <v>62</v>
      </c>
      <c r="F36" s="5" t="s">
        <v>9</v>
      </c>
      <c r="G36" s="15">
        <v>46218</v>
      </c>
    </row>
    <row r="37" spans="1:7" ht="70">
      <c r="A37" t="s">
        <v>74</v>
      </c>
      <c r="B37" s="5" t="s">
        <v>11</v>
      </c>
      <c r="C37" s="11" t="s">
        <v>77</v>
      </c>
      <c r="D37" s="5" t="s">
        <v>41</v>
      </c>
      <c r="E37" s="13">
        <v>44</v>
      </c>
      <c r="F37" s="5" t="s">
        <v>9</v>
      </c>
      <c r="G37" s="15">
        <v>46218</v>
      </c>
    </row>
    <row r="38" spans="1:7">
      <c r="A38" s="5" t="s">
        <v>20</v>
      </c>
      <c r="B38" s="5" t="s">
        <v>10</v>
      </c>
      <c r="C38" s="5" t="s">
        <v>78</v>
      </c>
      <c r="D38" s="5" t="s">
        <v>13</v>
      </c>
      <c r="E38" s="13">
        <v>62</v>
      </c>
      <c r="F38" s="5" t="s">
        <v>9</v>
      </c>
      <c r="G38" s="15">
        <v>46218</v>
      </c>
    </row>
    <row r="39" spans="1:7">
      <c r="A39" s="5" t="s">
        <v>20</v>
      </c>
      <c r="B39" s="5" t="s">
        <v>10</v>
      </c>
      <c r="C39" s="5" t="s">
        <v>79</v>
      </c>
      <c r="D39" s="5" t="s">
        <v>14</v>
      </c>
      <c r="E39" s="13">
        <v>70</v>
      </c>
      <c r="F39" s="5" t="s">
        <v>9</v>
      </c>
      <c r="G39" s="15">
        <v>46218</v>
      </c>
    </row>
    <row r="40" spans="1:7">
      <c r="A40" s="5" t="s">
        <v>20</v>
      </c>
      <c r="B40" s="5" t="s">
        <v>11</v>
      </c>
      <c r="C40" s="5" t="s">
        <v>80</v>
      </c>
      <c r="D40" s="5" t="s">
        <v>41</v>
      </c>
      <c r="E40" s="13">
        <v>50</v>
      </c>
      <c r="F40" s="5" t="s">
        <v>9</v>
      </c>
      <c r="G40" s="15">
        <v>46218</v>
      </c>
    </row>
    <row r="41" spans="1:7">
      <c r="A41" s="5" t="s">
        <v>19</v>
      </c>
      <c r="B41" s="5" t="s">
        <v>10</v>
      </c>
      <c r="C41" s="5" t="s">
        <v>81</v>
      </c>
      <c r="D41" s="5" t="s">
        <v>13</v>
      </c>
      <c r="E41" s="13">
        <v>68</v>
      </c>
      <c r="F41" s="5" t="s">
        <v>9</v>
      </c>
      <c r="G41" s="15">
        <v>46218</v>
      </c>
    </row>
    <row r="42" spans="1:7">
      <c r="A42" s="5" t="s">
        <v>19</v>
      </c>
      <c r="B42" s="5" t="s">
        <v>10</v>
      </c>
      <c r="C42" s="5" t="s">
        <v>82</v>
      </c>
      <c r="D42" s="5" t="s">
        <v>14</v>
      </c>
      <c r="E42" s="13">
        <v>75</v>
      </c>
      <c r="F42" s="5" t="s">
        <v>9</v>
      </c>
      <c r="G42" s="15">
        <v>46218</v>
      </c>
    </row>
    <row r="43" spans="1:7">
      <c r="A43" s="5" t="s">
        <v>19</v>
      </c>
      <c r="B43" s="5" t="s">
        <v>11</v>
      </c>
      <c r="C43" s="5" t="s">
        <v>83</v>
      </c>
      <c r="D43" s="5" t="s">
        <v>41</v>
      </c>
      <c r="E43" s="13">
        <v>55</v>
      </c>
      <c r="F43" s="5" t="s">
        <v>9</v>
      </c>
      <c r="G43" s="15">
        <v>46218</v>
      </c>
    </row>
    <row r="44" spans="1:7">
      <c r="A44" s="5" t="s">
        <v>84</v>
      </c>
      <c r="B44" s="5" t="s">
        <v>10</v>
      </c>
      <c r="C44" s="5" t="s">
        <v>85</v>
      </c>
      <c r="D44" s="5" t="s">
        <v>41</v>
      </c>
      <c r="E44" s="13">
        <v>18</v>
      </c>
      <c r="F44" s="5" t="s">
        <v>9</v>
      </c>
      <c r="G44" s="15">
        <v>46218</v>
      </c>
    </row>
    <row r="45" spans="1:7">
      <c r="A45" s="5" t="s">
        <v>84</v>
      </c>
      <c r="B45" s="5" t="s">
        <v>11</v>
      </c>
      <c r="C45" s="5" t="s">
        <v>86</v>
      </c>
      <c r="D45" s="5" t="s">
        <v>41</v>
      </c>
      <c r="E45" s="13">
        <v>14</v>
      </c>
      <c r="F45" s="5" t="s">
        <v>9</v>
      </c>
      <c r="G45" s="15">
        <v>46218</v>
      </c>
    </row>
    <row r="46" spans="1:7">
      <c r="A46" s="5" t="s">
        <v>87</v>
      </c>
      <c r="B46" s="5" t="s">
        <v>10</v>
      </c>
      <c r="C46" s="5" t="s">
        <v>88</v>
      </c>
      <c r="D46" s="5" t="s">
        <v>41</v>
      </c>
      <c r="E46" s="13">
        <v>16</v>
      </c>
      <c r="F46" s="5" t="s">
        <v>9</v>
      </c>
      <c r="G46" s="15">
        <v>46218</v>
      </c>
    </row>
    <row r="47" spans="1:7">
      <c r="A47" s="5" t="s">
        <v>87</v>
      </c>
      <c r="B47" s="5" t="s">
        <v>11</v>
      </c>
      <c r="C47" s="5" t="s">
        <v>89</v>
      </c>
      <c r="D47" s="5" t="s">
        <v>41</v>
      </c>
      <c r="E47" s="13">
        <v>12</v>
      </c>
      <c r="F47" s="5" t="s">
        <v>9</v>
      </c>
      <c r="G47" s="15">
        <v>46218</v>
      </c>
    </row>
    <row r="48" spans="1:7">
      <c r="A48" s="5" t="s">
        <v>25</v>
      </c>
      <c r="B48" s="5" t="s">
        <v>10</v>
      </c>
      <c r="C48" s="5" t="s">
        <v>90</v>
      </c>
      <c r="D48" s="5" t="s">
        <v>91</v>
      </c>
      <c r="E48" s="13">
        <v>30</v>
      </c>
      <c r="F48" s="5" t="s">
        <v>9</v>
      </c>
      <c r="G48" s="15">
        <v>46218</v>
      </c>
    </row>
    <row r="49" spans="1:7">
      <c r="A49" s="5" t="s">
        <v>25</v>
      </c>
      <c r="B49" s="5" t="s">
        <v>11</v>
      </c>
      <c r="C49" s="5" t="s">
        <v>92</v>
      </c>
      <c r="D49" s="5" t="s">
        <v>91</v>
      </c>
      <c r="E49" s="13">
        <v>24</v>
      </c>
      <c r="F49" s="5" t="s">
        <v>9</v>
      </c>
      <c r="G49" s="15">
        <v>46218</v>
      </c>
    </row>
    <row r="50" spans="1:7">
      <c r="A50" s="5" t="s">
        <v>93</v>
      </c>
      <c r="B50" s="5" t="s">
        <v>10</v>
      </c>
      <c r="C50" s="5" t="s">
        <v>94</v>
      </c>
      <c r="D50" s="5" t="s">
        <v>91</v>
      </c>
      <c r="E50" s="13">
        <v>32</v>
      </c>
      <c r="F50" s="5" t="s">
        <v>9</v>
      </c>
      <c r="G50" s="15">
        <v>46218</v>
      </c>
    </row>
    <row r="51" spans="1:7">
      <c r="A51" s="5" t="s">
        <v>93</v>
      </c>
      <c r="B51" s="5" t="s">
        <v>11</v>
      </c>
      <c r="C51" s="5" t="s">
        <v>95</v>
      </c>
      <c r="D51" s="5" t="s">
        <v>91</v>
      </c>
      <c r="E51" s="13">
        <v>26</v>
      </c>
      <c r="F51" s="5" t="s">
        <v>9</v>
      </c>
      <c r="G51" s="15">
        <v>46218</v>
      </c>
    </row>
    <row r="52" spans="1:7">
      <c r="A52" s="5" t="s">
        <v>26</v>
      </c>
      <c r="B52" s="5" t="s">
        <v>10</v>
      </c>
      <c r="C52" s="5" t="s">
        <v>96</v>
      </c>
      <c r="D52" s="5" t="s">
        <v>91</v>
      </c>
      <c r="E52" s="13">
        <v>36</v>
      </c>
      <c r="F52" s="5" t="s">
        <v>9</v>
      </c>
      <c r="G52" s="15">
        <v>46218</v>
      </c>
    </row>
    <row r="53" spans="1:7">
      <c r="A53" s="5" t="s">
        <v>26</v>
      </c>
      <c r="B53" s="5" t="s">
        <v>11</v>
      </c>
      <c r="C53" s="5" t="s">
        <v>97</v>
      </c>
      <c r="D53" s="5" t="s">
        <v>91</v>
      </c>
      <c r="E53" s="13">
        <v>28</v>
      </c>
      <c r="F53" s="5" t="s">
        <v>9</v>
      </c>
      <c r="G53" s="15">
        <v>46218</v>
      </c>
    </row>
    <row r="54" spans="1:7">
      <c r="A54" s="5" t="s">
        <v>98</v>
      </c>
      <c r="B54" s="5" t="s">
        <v>10</v>
      </c>
      <c r="C54" s="5" t="s">
        <v>99</v>
      </c>
      <c r="D54" s="5" t="s">
        <v>91</v>
      </c>
      <c r="E54" s="13">
        <v>40</v>
      </c>
      <c r="F54" s="5" t="s">
        <v>9</v>
      </c>
      <c r="G54" s="15">
        <v>46218</v>
      </c>
    </row>
    <row r="55" spans="1:7">
      <c r="A55" s="5" t="s">
        <v>98</v>
      </c>
      <c r="B55" s="5" t="s">
        <v>11</v>
      </c>
      <c r="C55" s="5" t="s">
        <v>100</v>
      </c>
      <c r="D55" s="5" t="s">
        <v>91</v>
      </c>
      <c r="E55" s="13">
        <v>31</v>
      </c>
      <c r="F55" s="5" t="s">
        <v>9</v>
      </c>
      <c r="G55" s="15">
        <v>46218</v>
      </c>
    </row>
    <row r="56" spans="1:7">
      <c r="A56" s="5" t="s">
        <v>27</v>
      </c>
      <c r="B56" s="5" t="s">
        <v>10</v>
      </c>
      <c r="C56" s="5" t="s">
        <v>101</v>
      </c>
      <c r="D56" s="5" t="s">
        <v>91</v>
      </c>
      <c r="E56" s="13">
        <v>48</v>
      </c>
      <c r="F56" s="5" t="s">
        <v>9</v>
      </c>
      <c r="G56" s="15">
        <v>46218</v>
      </c>
    </row>
    <row r="57" spans="1:7">
      <c r="A57" s="5" t="s">
        <v>27</v>
      </c>
      <c r="B57" s="5" t="s">
        <v>11</v>
      </c>
      <c r="C57" s="5" t="s">
        <v>102</v>
      </c>
      <c r="D57" s="5" t="s">
        <v>91</v>
      </c>
      <c r="E57" s="13">
        <v>38</v>
      </c>
      <c r="F57" s="5" t="s">
        <v>9</v>
      </c>
      <c r="G57" s="15">
        <v>46218</v>
      </c>
    </row>
    <row r="58" spans="1:7">
      <c r="A58" s="5" t="s">
        <v>28</v>
      </c>
      <c r="B58" s="5" t="s">
        <v>10</v>
      </c>
      <c r="C58" s="5" t="s">
        <v>103</v>
      </c>
      <c r="D58" s="5" t="s">
        <v>91</v>
      </c>
      <c r="E58" s="13">
        <v>58</v>
      </c>
      <c r="F58" s="5" t="s">
        <v>9</v>
      </c>
      <c r="G58" s="15">
        <v>46218</v>
      </c>
    </row>
    <row r="59" spans="1:7">
      <c r="A59" s="5" t="s">
        <v>28</v>
      </c>
      <c r="B59" s="5" t="s">
        <v>11</v>
      </c>
      <c r="C59" s="5" t="s">
        <v>104</v>
      </c>
      <c r="D59" s="5" t="s">
        <v>91</v>
      </c>
      <c r="E59" s="13">
        <v>46</v>
      </c>
      <c r="F59" s="5" t="s">
        <v>9</v>
      </c>
      <c r="G59" s="15">
        <v>46218</v>
      </c>
    </row>
    <row r="60" spans="1:7">
      <c r="A60" s="5" t="s">
        <v>105</v>
      </c>
      <c r="B60" s="5" t="s">
        <v>10</v>
      </c>
      <c r="C60" s="5" t="s">
        <v>106</v>
      </c>
      <c r="D60" s="5" t="s">
        <v>91</v>
      </c>
      <c r="E60" s="13">
        <v>65</v>
      </c>
      <c r="F60" s="5" t="s">
        <v>9</v>
      </c>
      <c r="G60" s="15">
        <v>46218</v>
      </c>
    </row>
    <row r="61" spans="1:7">
      <c r="A61" s="5" t="s">
        <v>105</v>
      </c>
      <c r="B61" s="5" t="s">
        <v>11</v>
      </c>
      <c r="C61" s="5" t="s">
        <v>107</v>
      </c>
      <c r="D61" s="5" t="s">
        <v>91</v>
      </c>
      <c r="E61" s="13">
        <v>52</v>
      </c>
      <c r="F61" s="5" t="s">
        <v>9</v>
      </c>
      <c r="G61" s="15">
        <v>46218</v>
      </c>
    </row>
    <row r="62" spans="1:7">
      <c r="A62" s="5" t="s">
        <v>108</v>
      </c>
      <c r="B62" s="5" t="s">
        <v>109</v>
      </c>
      <c r="C62" s="5" t="s">
        <v>110</v>
      </c>
      <c r="D62" s="5" t="s">
        <v>91</v>
      </c>
      <c r="E62" s="13">
        <v>85</v>
      </c>
      <c r="F62" s="5" t="s">
        <v>9</v>
      </c>
      <c r="G62" s="15">
        <v>46218</v>
      </c>
    </row>
    <row r="63" spans="1:7">
      <c r="A63" s="5" t="s">
        <v>111</v>
      </c>
      <c r="B63" s="5" t="s">
        <v>109</v>
      </c>
      <c r="C63" s="5" t="s">
        <v>112</v>
      </c>
      <c r="D63" s="5" t="s">
        <v>91</v>
      </c>
      <c r="E63" s="13">
        <v>120</v>
      </c>
      <c r="F63" s="5" t="s">
        <v>9</v>
      </c>
      <c r="G63" s="15">
        <v>46218</v>
      </c>
    </row>
    <row r="64" spans="1:7">
      <c r="A64" s="5" t="s">
        <v>113</v>
      </c>
      <c r="B64" s="5" t="s">
        <v>10</v>
      </c>
      <c r="C64" s="5" t="s">
        <v>114</v>
      </c>
      <c r="D64" s="5" t="s">
        <v>115</v>
      </c>
      <c r="E64" s="13">
        <v>30</v>
      </c>
      <c r="F64" s="5" t="s">
        <v>9</v>
      </c>
      <c r="G64" s="15">
        <v>46218</v>
      </c>
    </row>
    <row r="65" spans="1:7">
      <c r="A65" s="5" t="s">
        <v>113</v>
      </c>
      <c r="B65" s="5" t="s">
        <v>11</v>
      </c>
      <c r="C65" s="5" t="s">
        <v>116</v>
      </c>
      <c r="D65" s="5" t="s">
        <v>115</v>
      </c>
      <c r="E65" s="13">
        <v>24</v>
      </c>
      <c r="F65" s="5" t="s">
        <v>9</v>
      </c>
      <c r="G65" s="15">
        <v>46218</v>
      </c>
    </row>
    <row r="66" spans="1:7">
      <c r="A66" s="5" t="s">
        <v>117</v>
      </c>
      <c r="B66" s="5" t="s">
        <v>10</v>
      </c>
      <c r="C66" s="5" t="s">
        <v>118</v>
      </c>
      <c r="D66" s="5" t="s">
        <v>115</v>
      </c>
      <c r="E66" s="13">
        <v>34</v>
      </c>
      <c r="F66" s="5" t="s">
        <v>9</v>
      </c>
      <c r="G66" s="15">
        <v>46218</v>
      </c>
    </row>
    <row r="67" spans="1:7">
      <c r="A67" s="5" t="s">
        <v>117</v>
      </c>
      <c r="B67" s="5" t="s">
        <v>11</v>
      </c>
      <c r="C67" s="5" t="s">
        <v>119</v>
      </c>
      <c r="D67" s="5" t="s">
        <v>115</v>
      </c>
      <c r="E67" s="13">
        <v>27</v>
      </c>
      <c r="F67" s="5" t="s">
        <v>9</v>
      </c>
      <c r="G67" s="15">
        <v>46218</v>
      </c>
    </row>
    <row r="68" spans="1:7">
      <c r="A68" s="5" t="s">
        <v>16</v>
      </c>
      <c r="B68" s="5" t="s">
        <v>10</v>
      </c>
      <c r="C68" s="5" t="s">
        <v>120</v>
      </c>
      <c r="D68" s="5" t="s">
        <v>115</v>
      </c>
      <c r="E68" s="13">
        <v>36</v>
      </c>
      <c r="F68" s="5" t="s">
        <v>9</v>
      </c>
      <c r="G68" s="15">
        <v>46218</v>
      </c>
    </row>
    <row r="69" spans="1:7">
      <c r="A69" s="5" t="s">
        <v>16</v>
      </c>
      <c r="B69" s="5" t="s">
        <v>11</v>
      </c>
      <c r="C69" s="5" t="s">
        <v>121</v>
      </c>
      <c r="D69" s="5" t="s">
        <v>115</v>
      </c>
      <c r="E69" s="13">
        <v>29</v>
      </c>
      <c r="F69" s="5" t="s">
        <v>9</v>
      </c>
      <c r="G69" s="15">
        <v>46218</v>
      </c>
    </row>
    <row r="70" spans="1:7">
      <c r="A70" s="5" t="s">
        <v>36</v>
      </c>
      <c r="B70" s="5" t="s">
        <v>122</v>
      </c>
      <c r="C70" s="5" t="s">
        <v>123</v>
      </c>
      <c r="D70" s="5" t="s">
        <v>124</v>
      </c>
      <c r="E70" s="13">
        <v>45</v>
      </c>
      <c r="F70" s="5" t="s">
        <v>9</v>
      </c>
      <c r="G70" s="15">
        <v>46218</v>
      </c>
    </row>
    <row r="71" spans="1:7">
      <c r="A71" s="5" t="s">
        <v>36</v>
      </c>
      <c r="B71" s="5" t="s">
        <v>125</v>
      </c>
      <c r="C71" s="5" t="s">
        <v>126</v>
      </c>
      <c r="D71" s="5" t="s">
        <v>124</v>
      </c>
      <c r="E71" s="13">
        <v>35</v>
      </c>
      <c r="F71" s="5" t="s">
        <v>9</v>
      </c>
      <c r="G71" s="15">
        <v>46218</v>
      </c>
    </row>
    <row r="72" spans="1:7">
      <c r="A72" s="5" t="s">
        <v>35</v>
      </c>
      <c r="B72" s="5" t="s">
        <v>122</v>
      </c>
      <c r="C72" s="5" t="s">
        <v>127</v>
      </c>
      <c r="D72" s="5" t="s">
        <v>124</v>
      </c>
      <c r="E72" s="13">
        <v>90</v>
      </c>
      <c r="F72" s="5" t="s">
        <v>9</v>
      </c>
      <c r="G72" s="15">
        <v>46218</v>
      </c>
    </row>
    <row r="73" spans="1:7">
      <c r="A73" s="5" t="s">
        <v>35</v>
      </c>
      <c r="B73" s="5" t="s">
        <v>125</v>
      </c>
      <c r="C73" s="5" t="s">
        <v>128</v>
      </c>
      <c r="D73" s="5" t="s">
        <v>124</v>
      </c>
      <c r="E73" s="13">
        <v>65</v>
      </c>
      <c r="F73" s="5" t="s">
        <v>9</v>
      </c>
      <c r="G73" s="15">
        <v>46218</v>
      </c>
    </row>
    <row r="74" spans="1:7">
      <c r="A74" s="5" t="s">
        <v>32</v>
      </c>
      <c r="B74" s="5" t="s">
        <v>122</v>
      </c>
      <c r="C74" s="5" t="s">
        <v>129</v>
      </c>
      <c r="D74" s="5" t="s">
        <v>124</v>
      </c>
      <c r="E74" s="13">
        <v>140</v>
      </c>
      <c r="F74" s="5" t="s">
        <v>9</v>
      </c>
      <c r="G74" s="15">
        <v>46218</v>
      </c>
    </row>
    <row r="75" spans="1:7">
      <c r="A75" s="5" t="s">
        <v>32</v>
      </c>
      <c r="B75" s="5" t="s">
        <v>125</v>
      </c>
      <c r="C75" s="5" t="s">
        <v>130</v>
      </c>
      <c r="D75" s="5" t="s">
        <v>124</v>
      </c>
      <c r="E75" s="13">
        <v>95</v>
      </c>
      <c r="F75" s="5" t="s">
        <v>9</v>
      </c>
      <c r="G75" s="15">
        <v>46218</v>
      </c>
    </row>
    <row r="76" spans="1:7">
      <c r="A76" s="5" t="s">
        <v>33</v>
      </c>
      <c r="B76" s="5" t="s">
        <v>122</v>
      </c>
      <c r="C76" s="5" t="s">
        <v>131</v>
      </c>
      <c r="D76" s="5" t="s">
        <v>124</v>
      </c>
      <c r="E76" s="13">
        <v>145</v>
      </c>
      <c r="F76" s="5" t="s">
        <v>9</v>
      </c>
      <c r="G76" s="15">
        <v>46218</v>
      </c>
    </row>
    <row r="77" spans="1:7">
      <c r="A77" s="5" t="s">
        <v>33</v>
      </c>
      <c r="B77" s="5" t="s">
        <v>125</v>
      </c>
      <c r="C77" s="5" t="s">
        <v>132</v>
      </c>
      <c r="D77" s="5" t="s">
        <v>124</v>
      </c>
      <c r="E77" s="13">
        <v>98</v>
      </c>
      <c r="F77" s="5" t="s">
        <v>9</v>
      </c>
      <c r="G77" s="15">
        <v>46218</v>
      </c>
    </row>
    <row r="78" spans="1:7">
      <c r="A78" s="5" t="s">
        <v>34</v>
      </c>
      <c r="B78" s="5" t="s">
        <v>122</v>
      </c>
      <c r="C78" s="5" t="s">
        <v>133</v>
      </c>
      <c r="D78" s="5" t="s">
        <v>124</v>
      </c>
      <c r="E78" s="13">
        <v>150</v>
      </c>
      <c r="F78" s="5" t="s">
        <v>9</v>
      </c>
      <c r="G78" s="15">
        <v>46218</v>
      </c>
    </row>
    <row r="79" spans="1:7">
      <c r="A79" s="5" t="s">
        <v>34</v>
      </c>
      <c r="B79" s="5" t="s">
        <v>125</v>
      </c>
      <c r="C79" s="5" t="s">
        <v>134</v>
      </c>
      <c r="D79" s="5" t="s">
        <v>124</v>
      </c>
      <c r="E79" s="13">
        <v>100</v>
      </c>
      <c r="F79" s="5" t="s">
        <v>9</v>
      </c>
      <c r="G79" s="15">
        <v>46218</v>
      </c>
    </row>
    <row r="80" spans="1:7">
      <c r="A80" s="5" t="s">
        <v>135</v>
      </c>
      <c r="B80" s="5" t="s">
        <v>122</v>
      </c>
      <c r="C80" s="5" t="s">
        <v>136</v>
      </c>
      <c r="D80" s="5" t="s">
        <v>124</v>
      </c>
      <c r="E80" s="13">
        <v>160</v>
      </c>
      <c r="F80" s="5" t="s">
        <v>9</v>
      </c>
      <c r="G80" s="15">
        <v>46218</v>
      </c>
    </row>
    <row r="81" spans="1:7">
      <c r="A81" s="5" t="s">
        <v>135</v>
      </c>
      <c r="B81" s="5" t="s">
        <v>125</v>
      </c>
      <c r="C81" s="5" t="s">
        <v>137</v>
      </c>
      <c r="D81" s="5" t="s">
        <v>124</v>
      </c>
      <c r="E81" s="13">
        <v>110</v>
      </c>
      <c r="F81" s="5" t="s">
        <v>9</v>
      </c>
      <c r="G81" s="15">
        <v>46218</v>
      </c>
    </row>
    <row r="82" spans="1:7">
      <c r="A82" s="5" t="s">
        <v>138</v>
      </c>
      <c r="B82" s="5" t="s">
        <v>122</v>
      </c>
      <c r="C82" s="5" t="s">
        <v>139</v>
      </c>
      <c r="D82" s="5" t="s">
        <v>124</v>
      </c>
      <c r="E82" s="13">
        <v>220</v>
      </c>
      <c r="F82" s="5" t="s">
        <v>9</v>
      </c>
      <c r="G82" s="15">
        <v>46218</v>
      </c>
    </row>
    <row r="83" spans="1:7">
      <c r="A83" s="5" t="s">
        <v>138</v>
      </c>
      <c r="B83" s="5" t="s">
        <v>125</v>
      </c>
      <c r="C83" s="5" t="s">
        <v>140</v>
      </c>
      <c r="D83" s="5" t="s">
        <v>124</v>
      </c>
      <c r="E83" s="13">
        <v>150</v>
      </c>
      <c r="F83" s="5" t="s">
        <v>9</v>
      </c>
      <c r="G83" s="15">
        <v>46218</v>
      </c>
    </row>
    <row r="84" spans="1:7">
      <c r="A84" s="5" t="s">
        <v>37</v>
      </c>
      <c r="B84" s="5" t="s">
        <v>10</v>
      </c>
      <c r="C84" s="5" t="s">
        <v>141</v>
      </c>
      <c r="D84" s="5" t="s">
        <v>142</v>
      </c>
      <c r="E84" s="13">
        <v>42</v>
      </c>
      <c r="F84" s="5" t="s">
        <v>9</v>
      </c>
      <c r="G84" s="15">
        <v>46218</v>
      </c>
    </row>
    <row r="85" spans="1:7">
      <c r="A85" s="5" t="s">
        <v>37</v>
      </c>
      <c r="B85" s="5" t="s">
        <v>11</v>
      </c>
      <c r="C85" s="5" t="s">
        <v>143</v>
      </c>
      <c r="D85" s="5" t="s">
        <v>142</v>
      </c>
      <c r="E85" s="13">
        <v>32</v>
      </c>
      <c r="F85" s="5" t="s">
        <v>9</v>
      </c>
      <c r="G85" s="15">
        <v>46218</v>
      </c>
    </row>
    <row r="86" spans="1:7">
      <c r="A86" s="5" t="s">
        <v>29</v>
      </c>
      <c r="B86" s="5" t="s">
        <v>144</v>
      </c>
      <c r="C86" s="5" t="s">
        <v>145</v>
      </c>
      <c r="D86" s="5" t="s">
        <v>146</v>
      </c>
      <c r="E86" s="13">
        <v>45</v>
      </c>
      <c r="F86" s="5" t="s">
        <v>9</v>
      </c>
      <c r="G86" s="15">
        <v>46218</v>
      </c>
    </row>
    <row r="87" spans="1:7">
      <c r="A87" s="5" t="s">
        <v>147</v>
      </c>
      <c r="B87" s="5" t="s">
        <v>144</v>
      </c>
      <c r="C87" s="5" t="s">
        <v>148</v>
      </c>
      <c r="D87" s="5" t="s">
        <v>149</v>
      </c>
      <c r="E87" s="13">
        <v>55</v>
      </c>
      <c r="F87" s="5" t="s">
        <v>9</v>
      </c>
      <c r="G87" s="15">
        <v>46218</v>
      </c>
    </row>
    <row r="88" spans="1:7">
      <c r="A88" s="5" t="s">
        <v>30</v>
      </c>
      <c r="B88" s="5" t="s">
        <v>144</v>
      </c>
      <c r="C88" s="5" t="s">
        <v>150</v>
      </c>
      <c r="D88" s="5" t="s">
        <v>151</v>
      </c>
      <c r="E88" s="13">
        <v>65</v>
      </c>
      <c r="F88" s="5" t="s">
        <v>9</v>
      </c>
      <c r="G88" s="15">
        <v>46218</v>
      </c>
    </row>
    <row r="89" spans="1:7">
      <c r="A89" s="5" t="s">
        <v>31</v>
      </c>
      <c r="B89" s="5" t="s">
        <v>144</v>
      </c>
      <c r="C89" s="5" t="s">
        <v>152</v>
      </c>
      <c r="D89" s="5" t="s">
        <v>153</v>
      </c>
      <c r="E89" s="13">
        <v>55</v>
      </c>
      <c r="F89" s="5" t="s">
        <v>9</v>
      </c>
      <c r="G89" s="15">
        <v>46218</v>
      </c>
    </row>
    <row r="90" spans="1:7">
      <c r="A90" s="5" t="s">
        <v>154</v>
      </c>
      <c r="B90" s="5" t="s">
        <v>144</v>
      </c>
      <c r="C90" s="5" t="s">
        <v>155</v>
      </c>
      <c r="D90" s="5" t="s">
        <v>156</v>
      </c>
      <c r="E90" s="13">
        <v>40</v>
      </c>
      <c r="F90" s="5" t="s">
        <v>9</v>
      </c>
      <c r="G90" s="15">
        <v>46218</v>
      </c>
    </row>
    <row r="91" spans="1:7">
      <c r="A91" s="5" t="s">
        <v>157</v>
      </c>
      <c r="B91" s="5" t="s">
        <v>144</v>
      </c>
      <c r="C91" s="5" t="s">
        <v>158</v>
      </c>
      <c r="D91" s="5" t="s">
        <v>159</v>
      </c>
      <c r="E91" s="13">
        <v>60</v>
      </c>
      <c r="F91" s="5" t="s">
        <v>9</v>
      </c>
      <c r="G91" s="15">
        <v>46218</v>
      </c>
    </row>
    <row r="92" spans="1:7">
      <c r="A92" s="5" t="s">
        <v>23</v>
      </c>
      <c r="B92" s="5" t="s">
        <v>109</v>
      </c>
      <c r="C92" s="5" t="s">
        <v>160</v>
      </c>
      <c r="D92" s="5" t="s">
        <v>161</v>
      </c>
      <c r="E92" s="13">
        <v>90</v>
      </c>
      <c r="F92" s="5" t="s">
        <v>9</v>
      </c>
      <c r="G92" s="15">
        <v>46218</v>
      </c>
    </row>
    <row r="93" spans="1:7">
      <c r="A93" s="5" t="s">
        <v>162</v>
      </c>
      <c r="B93" s="5" t="s">
        <v>109</v>
      </c>
      <c r="C93" s="5" t="s">
        <v>163</v>
      </c>
      <c r="D93" s="5" t="s">
        <v>161</v>
      </c>
      <c r="E93" s="13">
        <v>120</v>
      </c>
      <c r="F93" s="5" t="s">
        <v>9</v>
      </c>
      <c r="G93" s="15">
        <v>46218</v>
      </c>
    </row>
    <row r="94" spans="1:7">
      <c r="A94" s="5" t="s">
        <v>164</v>
      </c>
      <c r="B94" s="5" t="s">
        <v>109</v>
      </c>
      <c r="C94" s="5" t="s">
        <v>165</v>
      </c>
      <c r="D94" s="5" t="s">
        <v>161</v>
      </c>
      <c r="E94" s="13">
        <v>150</v>
      </c>
      <c r="F94" s="5" t="s">
        <v>9</v>
      </c>
      <c r="G94" s="15">
        <v>46218</v>
      </c>
    </row>
    <row r="95" spans="1:7">
      <c r="A95" s="5" t="s">
        <v>22</v>
      </c>
      <c r="B95" s="5" t="s">
        <v>109</v>
      </c>
      <c r="C95" s="5" t="s">
        <v>166</v>
      </c>
      <c r="D95" s="5" t="s">
        <v>161</v>
      </c>
      <c r="E95" s="13">
        <v>180</v>
      </c>
      <c r="F95" s="5" t="s">
        <v>9</v>
      </c>
      <c r="G95" s="15">
        <v>46218</v>
      </c>
    </row>
    <row r="96" spans="1:7">
      <c r="A96" s="5" t="s">
        <v>24</v>
      </c>
      <c r="B96" s="5" t="s">
        <v>167</v>
      </c>
      <c r="C96" s="5" t="s">
        <v>168</v>
      </c>
      <c r="D96" s="5" t="s">
        <v>13</v>
      </c>
      <c r="E96" s="13">
        <v>30</v>
      </c>
      <c r="F96" s="5" t="s">
        <v>9</v>
      </c>
      <c r="G96" s="15">
        <v>46218</v>
      </c>
    </row>
    <row r="97" spans="1:7">
      <c r="A97" s="5"/>
      <c r="B97" s="5"/>
      <c r="C97" s="5"/>
      <c r="D97" s="5"/>
      <c r="E97" s="7"/>
      <c r="F97" s="5" t="s">
        <v>9</v>
      </c>
      <c r="G97" s="9"/>
    </row>
    <row r="98" spans="1:7">
      <c r="A98" s="5"/>
      <c r="B98" s="5"/>
      <c r="C98" s="5"/>
      <c r="D98" s="5"/>
      <c r="E98" s="7"/>
      <c r="F98" s="5" t="s">
        <v>9</v>
      </c>
      <c r="G98" s="9"/>
    </row>
    <row r="99" spans="1:7">
      <c r="A99" s="5"/>
      <c r="B99" s="5"/>
      <c r="C99" s="5"/>
      <c r="D99" s="5"/>
      <c r="E99" s="7"/>
      <c r="F99" s="5" t="s">
        <v>9</v>
      </c>
      <c r="G99" s="9"/>
    </row>
    <row r="100" spans="1:7">
      <c r="A100" s="5"/>
      <c r="B100" s="5"/>
      <c r="C100" s="5"/>
      <c r="D100" s="5"/>
      <c r="E100" s="7"/>
      <c r="F100" s="5" t="s">
        <v>9</v>
      </c>
      <c r="G100" s="9"/>
    </row>
    <row r="101" spans="1:7">
      <c r="A101" s="5"/>
      <c r="B101" s="5"/>
      <c r="C101" s="5"/>
      <c r="D101" s="5"/>
      <c r="E101" s="7"/>
      <c r="F101" s="5" t="s">
        <v>9</v>
      </c>
      <c r="G101" s="9"/>
    </row>
    <row r="102" spans="1:7">
      <c r="A102" s="5"/>
      <c r="B102" s="5"/>
      <c r="C102" s="5"/>
      <c r="D102" s="5"/>
      <c r="E102" s="7"/>
      <c r="F102" s="5" t="s">
        <v>9</v>
      </c>
      <c r="G102" s="9"/>
    </row>
    <row r="103" spans="1:7">
      <c r="A103" s="5"/>
      <c r="B103" s="5"/>
      <c r="C103" s="5"/>
      <c r="D103" s="5"/>
      <c r="E103" s="7"/>
      <c r="F103" s="5" t="s">
        <v>9</v>
      </c>
      <c r="G103" s="9"/>
    </row>
    <row r="104" spans="1:7">
      <c r="A104" s="6"/>
      <c r="B104" s="6"/>
      <c r="C104" s="6"/>
      <c r="D104" s="6"/>
      <c r="E104" s="8"/>
      <c r="F104" s="6" t="s">
        <v>9</v>
      </c>
      <c r="G104" s="10"/>
    </row>
  </sheetData>
  <mergeCells count="2">
    <mergeCell ref="A1:G1"/>
    <mergeCell ref="A2:G2"/>
  </mergeCells>
  <dataValidations count="2">
    <dataValidation type="list" sqref="B9:B104" xr:uid="{00000000-0002-0000-0000-000000000000}">
      <formula1>"Fresh / Full Painting,Repainting,Special Finish"</formula1>
    </dataValidation>
    <dataValidation type="list" allowBlank="1" showInputMessage="1" showErrorMessage="1" sqref="F5:F104" xr:uid="{241D6534-9EA2-486B-9D7E-6B70CC3E146D}">
      <formula1>"Yes,No"</formula1>
    </dataValidation>
  </dataValidations>
  <pageMargins left="0.7" right="0.7" top="0.75" bottom="0.75" header="0.3" footer="0.3"/>
  <legacy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104180-1358-4933-87A2-0DF6B8DEB9B4}">
  <dimension ref="A1:G30"/>
  <sheetViews>
    <sheetView workbookViewId="0"/>
  </sheetViews>
  <sheetFormatPr defaultRowHeight="14"/>
  <cols>
    <col min="1" max="1" width="6.6640625" customWidth="1"/>
    <col min="2" max="2" width="36.6640625" customWidth="1"/>
    <col min="3" max="4" width="25" customWidth="1"/>
    <col min="5" max="7" width="18.33203125" customWidth="1"/>
  </cols>
  <sheetData>
    <row r="1" spans="1:7" ht="18">
      <c r="A1" s="16" t="s">
        <v>169</v>
      </c>
    </row>
    <row r="2" spans="1:7">
      <c r="A2" s="17" t="s">
        <v>170</v>
      </c>
    </row>
    <row r="3" spans="1:7">
      <c r="A3" s="18" t="s">
        <v>171</v>
      </c>
    </row>
    <row r="4" spans="1:7">
      <c r="A4" s="18" t="s">
        <v>172</v>
      </c>
    </row>
    <row r="5" spans="1:7">
      <c r="A5" s="18" t="s">
        <v>173</v>
      </c>
      <c r="B5" s="19">
        <f ca="1">TODAY()</f>
        <v>46219</v>
      </c>
    </row>
    <row r="7" spans="1:7">
      <c r="A7" s="24" t="s">
        <v>174</v>
      </c>
      <c r="B7" s="24" t="s">
        <v>2</v>
      </c>
      <c r="C7" s="24" t="s">
        <v>3</v>
      </c>
      <c r="D7" s="24" t="s">
        <v>5</v>
      </c>
      <c r="E7" s="24" t="s">
        <v>175</v>
      </c>
      <c r="F7" s="24" t="s">
        <v>176</v>
      </c>
      <c r="G7" s="24" t="s">
        <v>177</v>
      </c>
    </row>
    <row r="8" spans="1:7">
      <c r="A8" s="25" t="str">
        <f>IF($B8="","",ROW()-7)</f>
        <v/>
      </c>
      <c r="B8" s="25"/>
      <c r="C8" s="25"/>
      <c r="D8" s="25"/>
      <c r="E8" s="26"/>
      <c r="F8" s="27" t="str" cm="1">
        <f t="array" ref="F8">IF($B8="","",IFERROR(_xlfn.XLOOKUP($B8&amp;"|"&amp;$C8&amp;"|"&amp;$D8,PaintingSystemRateMaster[Product]&amp;"|"&amp;PaintingSystemRateMaster[Painting Type]&amp;"|"&amp;PaintingSystemRateMaster[Surface / Substrate],PaintingSystemRateMaster[Rate per Sq Ft]),"Not found"))</f>
        <v/>
      </c>
      <c r="G8" s="28" t="str">
        <f>IF(OR($E8="",$F8="",NOT(ISNUMBER($F8))),"",$E8*$F8)</f>
        <v/>
      </c>
    </row>
    <row r="9" spans="1:7">
      <c r="A9" s="25" t="str">
        <f t="shared" ref="A9:A27" si="0">IF($B9="","",ROW()-7)</f>
        <v/>
      </c>
      <c r="B9" s="25"/>
      <c r="C9" s="25"/>
      <c r="D9" s="25"/>
      <c r="E9" s="26"/>
      <c r="F9" s="27" t="str" cm="1">
        <f t="array" ref="F9">IF($B9="","",IFERROR(_xlfn.XLOOKUP($B9&amp;"|"&amp;$C9&amp;"|"&amp;$D9,PaintingSystemRateMaster[Product]&amp;"|"&amp;PaintingSystemRateMaster[Painting Type]&amp;"|"&amp;PaintingSystemRateMaster[Surface / Substrate],PaintingSystemRateMaster[Rate per Sq Ft]),"Not found"))</f>
        <v/>
      </c>
      <c r="G9" s="28" t="str">
        <f t="shared" ref="G9:G27" si="1">IF(OR($E9="",$F9="",NOT(ISNUMBER($F9))),"",$E9*$F9)</f>
        <v/>
      </c>
    </row>
    <row r="10" spans="1:7">
      <c r="A10" s="25" t="str">
        <f t="shared" si="0"/>
        <v/>
      </c>
      <c r="B10" s="25"/>
      <c r="C10" s="25"/>
      <c r="D10" s="25"/>
      <c r="E10" s="26"/>
      <c r="F10" s="27" t="str" cm="1">
        <f t="array" ref="F10">IF($B10="","",IFERROR(_xlfn.XLOOKUP($B10&amp;"|"&amp;$C10&amp;"|"&amp;$D10,PaintingSystemRateMaster[Product]&amp;"|"&amp;PaintingSystemRateMaster[Painting Type]&amp;"|"&amp;PaintingSystemRateMaster[Surface / Substrate],PaintingSystemRateMaster[Rate per Sq Ft]),"Not found"))</f>
        <v/>
      </c>
      <c r="G10" s="28" t="str">
        <f t="shared" si="1"/>
        <v/>
      </c>
    </row>
    <row r="11" spans="1:7">
      <c r="A11" s="25" t="str">
        <f t="shared" si="0"/>
        <v/>
      </c>
      <c r="B11" s="25"/>
      <c r="C11" s="25"/>
      <c r="D11" s="25"/>
      <c r="E11" s="26"/>
      <c r="F11" s="27" t="str" cm="1">
        <f t="array" ref="F11">IF($B11="","",IFERROR(_xlfn.XLOOKUP($B11&amp;"|"&amp;$C11&amp;"|"&amp;$D11,PaintingSystemRateMaster[Product]&amp;"|"&amp;PaintingSystemRateMaster[Painting Type]&amp;"|"&amp;PaintingSystemRateMaster[Surface / Substrate],PaintingSystemRateMaster[Rate per Sq Ft]),"Not found"))</f>
        <v/>
      </c>
      <c r="G11" s="28" t="str">
        <f t="shared" si="1"/>
        <v/>
      </c>
    </row>
    <row r="12" spans="1:7">
      <c r="A12" s="25" t="str">
        <f t="shared" si="0"/>
        <v/>
      </c>
      <c r="B12" s="25"/>
      <c r="C12" s="25"/>
      <c r="D12" s="25"/>
      <c r="E12" s="26"/>
      <c r="F12" s="27" t="str" cm="1">
        <f t="array" ref="F12">IF($B12="","",IFERROR(_xlfn.XLOOKUP($B12&amp;"|"&amp;$C12&amp;"|"&amp;$D12,PaintingSystemRateMaster[Product]&amp;"|"&amp;PaintingSystemRateMaster[Painting Type]&amp;"|"&amp;PaintingSystemRateMaster[Surface / Substrate],PaintingSystemRateMaster[Rate per Sq Ft]),"Not found"))</f>
        <v/>
      </c>
      <c r="G12" s="28" t="str">
        <f t="shared" si="1"/>
        <v/>
      </c>
    </row>
    <row r="13" spans="1:7">
      <c r="A13" s="25" t="str">
        <f t="shared" si="0"/>
        <v/>
      </c>
      <c r="B13" s="25"/>
      <c r="C13" s="25"/>
      <c r="D13" s="25"/>
      <c r="E13" s="26"/>
      <c r="F13" s="27" t="str" cm="1">
        <f t="array" ref="F13">IF($B13="","",IFERROR(_xlfn.XLOOKUP($B13&amp;"|"&amp;$C13&amp;"|"&amp;$D13,PaintingSystemRateMaster[Product]&amp;"|"&amp;PaintingSystemRateMaster[Painting Type]&amp;"|"&amp;PaintingSystemRateMaster[Surface / Substrate],PaintingSystemRateMaster[Rate per Sq Ft]),"Not found"))</f>
        <v/>
      </c>
      <c r="G13" s="28" t="str">
        <f t="shared" si="1"/>
        <v/>
      </c>
    </row>
    <row r="14" spans="1:7">
      <c r="A14" s="25" t="str">
        <f t="shared" si="0"/>
        <v/>
      </c>
      <c r="B14" s="25"/>
      <c r="C14" s="25"/>
      <c r="D14" s="25"/>
      <c r="E14" s="26"/>
      <c r="F14" s="27" t="str" cm="1">
        <f t="array" ref="F14">IF($B14="","",IFERROR(_xlfn.XLOOKUP($B14&amp;"|"&amp;$C14&amp;"|"&amp;$D14,PaintingSystemRateMaster[Product]&amp;"|"&amp;PaintingSystemRateMaster[Painting Type]&amp;"|"&amp;PaintingSystemRateMaster[Surface / Substrate],PaintingSystemRateMaster[Rate per Sq Ft]),"Not found"))</f>
        <v/>
      </c>
      <c r="G14" s="28" t="str">
        <f t="shared" si="1"/>
        <v/>
      </c>
    </row>
    <row r="15" spans="1:7">
      <c r="A15" s="25" t="str">
        <f t="shared" si="0"/>
        <v/>
      </c>
      <c r="B15" s="25"/>
      <c r="C15" s="25"/>
      <c r="D15" s="25"/>
      <c r="E15" s="26"/>
      <c r="F15" s="27" t="str" cm="1">
        <f t="array" ref="F15">IF($B15="","",IFERROR(_xlfn.XLOOKUP($B15&amp;"|"&amp;$C15&amp;"|"&amp;$D15,PaintingSystemRateMaster[Product]&amp;"|"&amp;PaintingSystemRateMaster[Painting Type]&amp;"|"&amp;PaintingSystemRateMaster[Surface / Substrate],PaintingSystemRateMaster[Rate per Sq Ft]),"Not found"))</f>
        <v/>
      </c>
      <c r="G15" s="28" t="str">
        <f t="shared" si="1"/>
        <v/>
      </c>
    </row>
    <row r="16" spans="1:7">
      <c r="A16" s="25" t="str">
        <f t="shared" si="0"/>
        <v/>
      </c>
      <c r="B16" s="25"/>
      <c r="C16" s="25"/>
      <c r="D16" s="25"/>
      <c r="E16" s="26"/>
      <c r="F16" s="27" t="str" cm="1">
        <f t="array" ref="F16">IF($B16="","",IFERROR(_xlfn.XLOOKUP($B16&amp;"|"&amp;$C16&amp;"|"&amp;$D16,PaintingSystemRateMaster[Product]&amp;"|"&amp;PaintingSystemRateMaster[Painting Type]&amp;"|"&amp;PaintingSystemRateMaster[Surface / Substrate],PaintingSystemRateMaster[Rate per Sq Ft]),"Not found"))</f>
        <v/>
      </c>
      <c r="G16" s="28" t="str">
        <f t="shared" si="1"/>
        <v/>
      </c>
    </row>
    <row r="17" spans="1:7">
      <c r="A17" s="25" t="str">
        <f t="shared" si="0"/>
        <v/>
      </c>
      <c r="B17" s="25"/>
      <c r="C17" s="25"/>
      <c r="D17" s="25"/>
      <c r="E17" s="26"/>
      <c r="F17" s="27" t="str" cm="1">
        <f t="array" ref="F17">IF($B17="","",IFERROR(_xlfn.XLOOKUP($B17&amp;"|"&amp;$C17&amp;"|"&amp;$D17,PaintingSystemRateMaster[Product]&amp;"|"&amp;PaintingSystemRateMaster[Painting Type]&amp;"|"&amp;PaintingSystemRateMaster[Surface / Substrate],PaintingSystemRateMaster[Rate per Sq Ft]),"Not found"))</f>
        <v/>
      </c>
      <c r="G17" s="28" t="str">
        <f t="shared" si="1"/>
        <v/>
      </c>
    </row>
    <row r="18" spans="1:7">
      <c r="A18" s="25" t="str">
        <f t="shared" si="0"/>
        <v/>
      </c>
      <c r="B18" s="25"/>
      <c r="C18" s="25"/>
      <c r="D18" s="25"/>
      <c r="E18" s="26"/>
      <c r="F18" s="27" t="str" cm="1">
        <f t="array" ref="F18">IF($B18="","",IFERROR(_xlfn.XLOOKUP($B18&amp;"|"&amp;$C18&amp;"|"&amp;$D18,PaintingSystemRateMaster[Product]&amp;"|"&amp;PaintingSystemRateMaster[Painting Type]&amp;"|"&amp;PaintingSystemRateMaster[Surface / Substrate],PaintingSystemRateMaster[Rate per Sq Ft]),"Not found"))</f>
        <v/>
      </c>
      <c r="G18" s="28" t="str">
        <f t="shared" si="1"/>
        <v/>
      </c>
    </row>
    <row r="19" spans="1:7">
      <c r="A19" s="25" t="str">
        <f t="shared" si="0"/>
        <v/>
      </c>
      <c r="B19" s="25"/>
      <c r="C19" s="25"/>
      <c r="D19" s="25"/>
      <c r="E19" s="26"/>
      <c r="F19" s="27" t="str" cm="1">
        <f t="array" ref="F19">IF($B19="","",IFERROR(_xlfn.XLOOKUP($B19&amp;"|"&amp;$C19&amp;"|"&amp;$D19,PaintingSystemRateMaster[Product]&amp;"|"&amp;PaintingSystemRateMaster[Painting Type]&amp;"|"&amp;PaintingSystemRateMaster[Surface / Substrate],PaintingSystemRateMaster[Rate per Sq Ft]),"Not found"))</f>
        <v/>
      </c>
      <c r="G19" s="28" t="str">
        <f t="shared" si="1"/>
        <v/>
      </c>
    </row>
    <row r="20" spans="1:7">
      <c r="A20" s="25" t="str">
        <f t="shared" si="0"/>
        <v/>
      </c>
      <c r="B20" s="25"/>
      <c r="C20" s="25"/>
      <c r="D20" s="25"/>
      <c r="E20" s="26"/>
      <c r="F20" s="27" t="str" cm="1">
        <f t="array" ref="F20">IF($B20="","",IFERROR(_xlfn.XLOOKUP($B20&amp;"|"&amp;$C20&amp;"|"&amp;$D20,PaintingSystemRateMaster[Product]&amp;"|"&amp;PaintingSystemRateMaster[Painting Type]&amp;"|"&amp;PaintingSystemRateMaster[Surface / Substrate],PaintingSystemRateMaster[Rate per Sq Ft]),"Not found"))</f>
        <v/>
      </c>
      <c r="G20" s="28" t="str">
        <f t="shared" si="1"/>
        <v/>
      </c>
    </row>
    <row r="21" spans="1:7">
      <c r="A21" s="25" t="str">
        <f t="shared" si="0"/>
        <v/>
      </c>
      <c r="B21" s="25"/>
      <c r="C21" s="25"/>
      <c r="D21" s="25"/>
      <c r="E21" s="26"/>
      <c r="F21" s="27" t="str" cm="1">
        <f t="array" ref="F21">IF($B21="","",IFERROR(_xlfn.XLOOKUP($B21&amp;"|"&amp;$C21&amp;"|"&amp;$D21,PaintingSystemRateMaster[Product]&amp;"|"&amp;PaintingSystemRateMaster[Painting Type]&amp;"|"&amp;PaintingSystemRateMaster[Surface / Substrate],PaintingSystemRateMaster[Rate per Sq Ft]),"Not found"))</f>
        <v/>
      </c>
      <c r="G21" s="28" t="str">
        <f t="shared" si="1"/>
        <v/>
      </c>
    </row>
    <row r="22" spans="1:7">
      <c r="A22" s="25" t="str">
        <f t="shared" si="0"/>
        <v/>
      </c>
      <c r="B22" s="25"/>
      <c r="C22" s="25"/>
      <c r="D22" s="25"/>
      <c r="E22" s="26"/>
      <c r="F22" s="27" t="str" cm="1">
        <f t="array" ref="F22">IF($B22="","",IFERROR(_xlfn.XLOOKUP($B22&amp;"|"&amp;$C22&amp;"|"&amp;$D22,PaintingSystemRateMaster[Product]&amp;"|"&amp;PaintingSystemRateMaster[Painting Type]&amp;"|"&amp;PaintingSystemRateMaster[Surface / Substrate],PaintingSystemRateMaster[Rate per Sq Ft]),"Not found"))</f>
        <v/>
      </c>
      <c r="G22" s="28" t="str">
        <f t="shared" si="1"/>
        <v/>
      </c>
    </row>
    <row r="23" spans="1:7">
      <c r="A23" s="25" t="str">
        <f t="shared" si="0"/>
        <v/>
      </c>
      <c r="B23" s="25"/>
      <c r="C23" s="25"/>
      <c r="D23" s="25"/>
      <c r="E23" s="26"/>
      <c r="F23" s="27" t="str" cm="1">
        <f t="array" ref="F23">IF($B23="","",IFERROR(_xlfn.XLOOKUP($B23&amp;"|"&amp;$C23&amp;"|"&amp;$D23,PaintingSystemRateMaster[Product]&amp;"|"&amp;PaintingSystemRateMaster[Painting Type]&amp;"|"&amp;PaintingSystemRateMaster[Surface / Substrate],PaintingSystemRateMaster[Rate per Sq Ft]),"Not found"))</f>
        <v/>
      </c>
      <c r="G23" s="28" t="str">
        <f t="shared" si="1"/>
        <v/>
      </c>
    </row>
    <row r="24" spans="1:7">
      <c r="A24" s="25" t="str">
        <f t="shared" si="0"/>
        <v/>
      </c>
      <c r="B24" s="25"/>
      <c r="C24" s="25"/>
      <c r="D24" s="25"/>
      <c r="E24" s="26"/>
      <c r="F24" s="27" t="str" cm="1">
        <f t="array" ref="F24">IF($B24="","",IFERROR(_xlfn.XLOOKUP($B24&amp;"|"&amp;$C24&amp;"|"&amp;$D24,PaintingSystemRateMaster[Product]&amp;"|"&amp;PaintingSystemRateMaster[Painting Type]&amp;"|"&amp;PaintingSystemRateMaster[Surface / Substrate],PaintingSystemRateMaster[Rate per Sq Ft]),"Not found"))</f>
        <v/>
      </c>
      <c r="G24" s="28" t="str">
        <f t="shared" si="1"/>
        <v/>
      </c>
    </row>
    <row r="25" spans="1:7">
      <c r="A25" s="25" t="str">
        <f t="shared" si="0"/>
        <v/>
      </c>
      <c r="B25" s="25"/>
      <c r="C25" s="25"/>
      <c r="D25" s="25"/>
      <c r="E25" s="26"/>
      <c r="F25" s="27" t="str" cm="1">
        <f t="array" ref="F25">IF($B25="","",IFERROR(_xlfn.XLOOKUP($B25&amp;"|"&amp;$C25&amp;"|"&amp;$D25,PaintingSystemRateMaster[Product]&amp;"|"&amp;PaintingSystemRateMaster[Painting Type]&amp;"|"&amp;PaintingSystemRateMaster[Surface / Substrate],PaintingSystemRateMaster[Rate per Sq Ft]),"Not found"))</f>
        <v/>
      </c>
      <c r="G25" s="28" t="str">
        <f t="shared" si="1"/>
        <v/>
      </c>
    </row>
    <row r="26" spans="1:7">
      <c r="A26" s="25" t="str">
        <f t="shared" si="0"/>
        <v/>
      </c>
      <c r="B26" s="25"/>
      <c r="C26" s="25"/>
      <c r="D26" s="25"/>
      <c r="E26" s="26"/>
      <c r="F26" s="27" t="str" cm="1">
        <f t="array" ref="F26">IF($B26="","",IFERROR(_xlfn.XLOOKUP($B26&amp;"|"&amp;$C26&amp;"|"&amp;$D26,PaintingSystemRateMaster[Product]&amp;"|"&amp;PaintingSystemRateMaster[Painting Type]&amp;"|"&amp;PaintingSystemRateMaster[Surface / Substrate],PaintingSystemRateMaster[Rate per Sq Ft]),"Not found"))</f>
        <v/>
      </c>
      <c r="G26" s="28" t="str">
        <f t="shared" si="1"/>
        <v/>
      </c>
    </row>
    <row r="27" spans="1:7">
      <c r="A27" s="25" t="str">
        <f t="shared" si="0"/>
        <v/>
      </c>
      <c r="B27" s="25"/>
      <c r="C27" s="25"/>
      <c r="D27" s="25"/>
      <c r="E27" s="26"/>
      <c r="F27" s="27" t="str" cm="1">
        <f t="array" ref="F27">IF($B27="","",IFERROR(_xlfn.XLOOKUP($B27&amp;"|"&amp;$C27&amp;"|"&amp;$D27,PaintingSystemRateMaster[Product]&amp;"|"&amp;PaintingSystemRateMaster[Painting Type]&amp;"|"&amp;PaintingSystemRateMaster[Surface / Substrate],PaintingSystemRateMaster[Rate per Sq Ft]),"Not found"))</f>
        <v/>
      </c>
      <c r="G27" s="28" t="str">
        <f t="shared" si="1"/>
        <v/>
      </c>
    </row>
    <row r="28" spans="1:7">
      <c r="F28" s="18" t="s">
        <v>178</v>
      </c>
      <c r="G28" s="21">
        <f>SUM(G8:G27)</f>
        <v>0</v>
      </c>
    </row>
    <row r="29" spans="1:7">
      <c r="E29" s="22">
        <v>0.18</v>
      </c>
      <c r="F29" s="18" t="s">
        <v>179</v>
      </c>
      <c r="G29" s="20">
        <f>IF(G28="","",G28*E29)</f>
        <v>0</v>
      </c>
    </row>
    <row r="30" spans="1:7">
      <c r="F30" s="18" t="s">
        <v>180</v>
      </c>
      <c r="G30" s="23">
        <f>G28+G29</f>
        <v>0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B3A2E152-4666-40B9-BD2F-0AC34C66B4F2}">
          <x14:formula1>
            <xm:f>'Rate Master'!$A$5:$A$96</xm:f>
          </x14:formula1>
          <xm:sqref>B8:B27</xm:sqref>
        </x14:dataValidation>
        <x14:dataValidation type="list" allowBlank="1" showInputMessage="1" showErrorMessage="1" xr:uid="{3369E855-4CC5-44D3-B8E7-510AFB73A31F}">
          <x14:formula1>
            <xm:f>'Rate Master'!$B$5:$B$96</xm:f>
          </x14:formula1>
          <xm:sqref>C8:C27</xm:sqref>
        </x14:dataValidation>
        <x14:dataValidation type="list" allowBlank="1" showInputMessage="1" showErrorMessage="1" xr:uid="{B2106E27-FFD4-4000-8A88-FEC582750F79}">
          <x14:formula1>
            <xm:f>'Rate Master'!$D$5:$D$96</xm:f>
          </x14:formula1>
          <xm:sqref>D8:D27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Rate Master</vt:lpstr>
      <vt:lpstr>Quotation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Lohith Hebbur</dc:creator>
  <cp:lastModifiedBy>Lohith Hebbur</cp:lastModifiedBy>
  <dcterms:created xsi:type="dcterms:W3CDTF">2026-07-03T17:53:57Z</dcterms:created>
  <dcterms:modified xsi:type="dcterms:W3CDTF">2026-07-16T17:52:57Z</dcterms:modified>
</cp:coreProperties>
</file>